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المستقبل\Desktop\"/>
    </mc:Choice>
  </mc:AlternateContent>
  <xr:revisionPtr revIDLastSave="0" documentId="13_ncr:1_{656AB7BF-AF37-4737-AE9B-C5BCDB2C59A9}" xr6:coauthVersionLast="47" xr6:coauthVersionMax="47" xr10:uidLastSave="{00000000-0000-0000-0000-000000000000}"/>
  <bookViews>
    <workbookView xWindow="-120" yWindow="-120" windowWidth="24240" windowHeight="13140" tabRatio="932" firstSheet="23" activeTab="38" xr2:uid="{00000000-000D-0000-FFFF-FFFF00000000}"/>
  </bookViews>
  <sheets>
    <sheet name="الدوائر" sheetId="1" r:id="rId1"/>
    <sheet name="شامل" sheetId="2" r:id="rId2"/>
    <sheet name="براقي" sheetId="3" r:id="rId3"/>
    <sheet name="الكاليتوس" sheetId="13" r:id="rId4"/>
    <sheet name="سيدي موسى " sheetId="14" r:id="rId5"/>
    <sheet name="الرويبة" sheetId="7" r:id="rId6"/>
    <sheet name="هراوة" sheetId="15" r:id="rId7"/>
    <sheet name="رغاية" sheetId="16" r:id="rId8"/>
    <sheet name="زرالدة" sheetId="9" r:id="rId9"/>
    <sheet name="سطاوالي" sheetId="17" r:id="rId10"/>
    <sheet name="سويدانية" sheetId="19" r:id="rId11"/>
    <sheet name="معالمة" sheetId="20" r:id="rId12"/>
    <sheet name="الرحمانية" sheetId="21" r:id="rId13"/>
    <sheet name="الشراقة" sheetId="10" r:id="rId14"/>
    <sheet name="الحمامات" sheetId="22" r:id="rId15"/>
    <sheet name="اولاد فايت" sheetId="23" r:id="rId16"/>
    <sheet name="دالي ابراهيم" sheetId="24" r:id="rId17"/>
    <sheet name="عين بنيان " sheetId="25" r:id="rId18"/>
    <sheet name="درارية" sheetId="26" r:id="rId19"/>
    <sheet name="دويرة" sheetId="28" r:id="rId20"/>
    <sheet name="بابا حسن" sheetId="29" r:id="rId21"/>
    <sheet name="العاشور " sheetId="30" r:id="rId22"/>
    <sheet name="خرايسية " sheetId="31" r:id="rId23"/>
    <sheet name="بئر توتة" sheetId="32" r:id="rId24"/>
    <sheet name=" أولاد شبل" sheetId="6" r:id="rId25"/>
    <sheet name="تسالة المرجة " sheetId="33" r:id="rId26"/>
    <sheet name="سيدي امحمد" sheetId="34" r:id="rId27"/>
    <sheet name="الجزائر وسط" sheetId="35" r:id="rId28"/>
    <sheet name="المرادية" sheetId="36" r:id="rId29"/>
    <sheet name="باب الواد" sheetId="37" r:id="rId30"/>
    <sheet name="بولوغين" sheetId="38" r:id="rId31"/>
    <sheet name="القصبة" sheetId="39" r:id="rId32"/>
    <sheet name="واد قريش" sheetId="41" r:id="rId33"/>
    <sheet name="رايس حميدو" sheetId="42" r:id="rId34"/>
    <sheet name="حسين داي" sheetId="43" r:id="rId35"/>
    <sheet name="محمد بلوزداد" sheetId="44" r:id="rId36"/>
    <sheet name="القبة" sheetId="45" r:id="rId37"/>
    <sheet name="المغارية" sheetId="46" r:id="rId38"/>
    <sheet name="الحراش" sheetId="47" r:id="rId39"/>
    <sheet name="وادي السمار " sheetId="48" r:id="rId40"/>
    <sheet name="بوروبة" sheetId="49" r:id="rId41"/>
    <sheet name="باش جراح" sheetId="50" r:id="rId42"/>
    <sheet name="بئر مراد رايس " sheetId="51" r:id="rId43"/>
    <sheet name="بئر خادم" sheetId="52" r:id="rId44"/>
    <sheet name="جسر قسنطينة" sheetId="53" r:id="rId45"/>
    <sheet name="حيدرة" sheetId="54" r:id="rId46"/>
    <sheet name="السحاولة" sheetId="55" r:id="rId47"/>
    <sheet name="بوزريعة " sheetId="56" r:id="rId48"/>
    <sheet name="الأبيار" sheetId="57" r:id="rId49"/>
    <sheet name="بن عكنون" sheetId="58" r:id="rId50"/>
    <sheet name="بني مسوس" sheetId="59" r:id="rId51"/>
    <sheet name="الدار البيضاء" sheetId="60" r:id="rId52"/>
    <sheet name="باب الـــزوار" sheetId="61" r:id="rId53"/>
    <sheet name="المحمدية" sheetId="62" r:id="rId54"/>
    <sheet name="برج الكيفان" sheetId="63" r:id="rId55"/>
    <sheet name="عين طاية" sheetId="64" r:id="rId56"/>
    <sheet name="برج البحري" sheetId="65" r:id="rId57"/>
    <sheet name="المرسى" sheetId="66" r:id="rId58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4" i="66" l="1"/>
  <c r="G5" i="66"/>
  <c r="G6" i="66"/>
  <c r="G7" i="66"/>
  <c r="F8" i="66"/>
  <c r="E8" i="66"/>
  <c r="G8" i="66" s="1"/>
  <c r="G4" i="65"/>
  <c r="G5" i="65"/>
  <c r="G6" i="65"/>
  <c r="G7" i="65"/>
  <c r="G8" i="65"/>
  <c r="G9" i="65"/>
  <c r="G10" i="65"/>
  <c r="G11" i="65"/>
  <c r="G12" i="65"/>
  <c r="G13" i="65"/>
  <c r="F13" i="65"/>
  <c r="E13" i="65"/>
  <c r="G4" i="64"/>
  <c r="G5" i="64"/>
  <c r="G6" i="64"/>
  <c r="G7" i="64"/>
  <c r="G8" i="64"/>
  <c r="G9" i="64"/>
  <c r="G10" i="64"/>
  <c r="G11" i="64"/>
  <c r="G12" i="64"/>
  <c r="G13" i="64"/>
  <c r="G14" i="64"/>
  <c r="G15" i="64"/>
  <c r="F15" i="64"/>
  <c r="E15" i="64"/>
  <c r="G4" i="63"/>
  <c r="G5" i="63"/>
  <c r="G6" i="63"/>
  <c r="G7" i="63"/>
  <c r="G8" i="63"/>
  <c r="G9" i="63"/>
  <c r="G10" i="63"/>
  <c r="G11" i="63"/>
  <c r="G12" i="63"/>
  <c r="G13" i="63"/>
  <c r="G14" i="63"/>
  <c r="G15" i="63"/>
  <c r="G16" i="63"/>
  <c r="G17" i="63"/>
  <c r="G18" i="63"/>
  <c r="G19" i="63"/>
  <c r="F19" i="63"/>
  <c r="E19" i="63"/>
  <c r="G4" i="62"/>
  <c r="G5" i="62"/>
  <c r="G6" i="62"/>
  <c r="G7" i="62"/>
  <c r="G8" i="62"/>
  <c r="G9" i="62"/>
  <c r="G10" i="62"/>
  <c r="G11" i="62"/>
  <c r="G12" i="62"/>
  <c r="G13" i="62"/>
  <c r="G14" i="62"/>
  <c r="G15" i="62"/>
  <c r="F15" i="62"/>
  <c r="E15" i="62"/>
  <c r="F17" i="61"/>
  <c r="E17" i="61"/>
  <c r="G16" i="61"/>
  <c r="G15" i="61"/>
  <c r="G14" i="61"/>
  <c r="G13" i="61"/>
  <c r="G12" i="61"/>
  <c r="G11" i="61"/>
  <c r="G10" i="61"/>
  <c r="G9" i="61"/>
  <c r="G8" i="61"/>
  <c r="G7" i="61"/>
  <c r="G6" i="61"/>
  <c r="G5" i="61"/>
  <c r="G4" i="61"/>
  <c r="G4" i="60"/>
  <c r="F17" i="60"/>
  <c r="E17" i="60"/>
  <c r="G16" i="60"/>
  <c r="G15" i="60"/>
  <c r="G14" i="60"/>
  <c r="G13" i="60"/>
  <c r="G12" i="60"/>
  <c r="G11" i="60"/>
  <c r="G10" i="60"/>
  <c r="G9" i="60"/>
  <c r="G8" i="60"/>
  <c r="G7" i="60"/>
  <c r="G6" i="60"/>
  <c r="G5" i="60"/>
  <c r="F11" i="59"/>
  <c r="E11" i="59"/>
  <c r="G10" i="59"/>
  <c r="G9" i="59"/>
  <c r="G8" i="59"/>
  <c r="G7" i="59"/>
  <c r="G6" i="59"/>
  <c r="G5" i="59"/>
  <c r="G4" i="59"/>
  <c r="F12" i="58"/>
  <c r="E12" i="58"/>
  <c r="G12" i="58" s="1"/>
  <c r="G11" i="58"/>
  <c r="G10" i="58"/>
  <c r="G9" i="58"/>
  <c r="G8" i="58"/>
  <c r="G7" i="58"/>
  <c r="G6" i="58"/>
  <c r="G5" i="58"/>
  <c r="G4" i="58"/>
  <c r="G4" i="57"/>
  <c r="G5" i="57"/>
  <c r="G6" i="57"/>
  <c r="G7" i="57"/>
  <c r="G8" i="57"/>
  <c r="G9" i="57"/>
  <c r="G10" i="57"/>
  <c r="G11" i="57"/>
  <c r="G12" i="57"/>
  <c r="G13" i="57"/>
  <c r="G14" i="57"/>
  <c r="G15" i="57"/>
  <c r="G16" i="57"/>
  <c r="G17" i="57"/>
  <c r="G18" i="57"/>
  <c r="G19" i="57"/>
  <c r="G20" i="57"/>
  <c r="G21" i="57"/>
  <c r="G22" i="57"/>
  <c r="F23" i="57"/>
  <c r="E23" i="57"/>
  <c r="F22" i="56"/>
  <c r="E22" i="56"/>
  <c r="G22" i="56" s="1"/>
  <c r="G21" i="56"/>
  <c r="G20" i="56"/>
  <c r="G19" i="56"/>
  <c r="G18" i="56"/>
  <c r="G17" i="56"/>
  <c r="G16" i="56"/>
  <c r="G15" i="56"/>
  <c r="G14" i="56"/>
  <c r="G13" i="56"/>
  <c r="G12" i="56"/>
  <c r="G11" i="56"/>
  <c r="G10" i="56"/>
  <c r="G9" i="56"/>
  <c r="G8" i="56"/>
  <c r="G7" i="56"/>
  <c r="G6" i="56"/>
  <c r="G5" i="56"/>
  <c r="G4" i="56"/>
  <c r="G4" i="55"/>
  <c r="G5" i="55"/>
  <c r="G6" i="55"/>
  <c r="G7" i="55"/>
  <c r="G8" i="55"/>
  <c r="G9" i="55"/>
  <c r="G10" i="55"/>
  <c r="F11" i="55"/>
  <c r="E11" i="55"/>
  <c r="G4" i="54"/>
  <c r="G5" i="54"/>
  <c r="G6" i="54"/>
  <c r="G7" i="54"/>
  <c r="G8" i="54"/>
  <c r="G9" i="54"/>
  <c r="F10" i="54"/>
  <c r="E10" i="54"/>
  <c r="G10" i="54" s="1"/>
  <c r="G4" i="53"/>
  <c r="G5" i="53"/>
  <c r="G6" i="53"/>
  <c r="G7" i="53"/>
  <c r="G8" i="53"/>
  <c r="G9" i="53"/>
  <c r="G10" i="53"/>
  <c r="G11" i="53"/>
  <c r="G12" i="53"/>
  <c r="G13" i="53"/>
  <c r="G14" i="53"/>
  <c r="G15" i="53"/>
  <c r="G16" i="53"/>
  <c r="G17" i="53"/>
  <c r="G18" i="53"/>
  <c r="G19" i="53"/>
  <c r="F19" i="53"/>
  <c r="E19" i="53"/>
  <c r="G4" i="52"/>
  <c r="G5" i="52"/>
  <c r="G6" i="52"/>
  <c r="G7" i="52"/>
  <c r="G8" i="52"/>
  <c r="G9" i="52"/>
  <c r="G10" i="52"/>
  <c r="G11" i="52"/>
  <c r="G12" i="52"/>
  <c r="G13" i="52"/>
  <c r="G14" i="52"/>
  <c r="G15" i="52"/>
  <c r="G16" i="52"/>
  <c r="G17" i="52"/>
  <c r="G18" i="52"/>
  <c r="G19" i="52"/>
  <c r="G20" i="52"/>
  <c r="G21" i="52"/>
  <c r="F21" i="52"/>
  <c r="E21" i="52"/>
  <c r="G4" i="51"/>
  <c r="G5" i="51"/>
  <c r="G6" i="51"/>
  <c r="G7" i="51"/>
  <c r="G8" i="51"/>
  <c r="G9" i="51"/>
  <c r="G10" i="51"/>
  <c r="G11" i="51"/>
  <c r="G12" i="51"/>
  <c r="G13" i="51"/>
  <c r="F13" i="51"/>
  <c r="E13" i="51"/>
  <c r="G4" i="50"/>
  <c r="G5" i="50"/>
  <c r="G6" i="50"/>
  <c r="G7" i="50"/>
  <c r="G8" i="50"/>
  <c r="G9" i="50"/>
  <c r="G10" i="50"/>
  <c r="G11" i="50"/>
  <c r="G12" i="50"/>
  <c r="G13" i="50"/>
  <c r="G14" i="50"/>
  <c r="G15" i="50"/>
  <c r="G16" i="50"/>
  <c r="G17" i="50"/>
  <c r="G18" i="50"/>
  <c r="G19" i="50"/>
  <c r="G20" i="50"/>
  <c r="F20" i="50"/>
  <c r="E20" i="50"/>
  <c r="G4" i="49"/>
  <c r="G5" i="49"/>
  <c r="G6" i="49"/>
  <c r="G7" i="49"/>
  <c r="G8" i="49"/>
  <c r="G9" i="49"/>
  <c r="G10" i="49"/>
  <c r="G11" i="49"/>
  <c r="G12" i="49"/>
  <c r="G13" i="49"/>
  <c r="G14" i="49"/>
  <c r="G15" i="49"/>
  <c r="G16" i="49"/>
  <c r="G17" i="49"/>
  <c r="G18" i="49"/>
  <c r="G19" i="49"/>
  <c r="G20" i="49"/>
  <c r="G21" i="49"/>
  <c r="F21" i="49"/>
  <c r="E21" i="49"/>
  <c r="G4" i="48"/>
  <c r="G5" i="48"/>
  <c r="G6" i="48"/>
  <c r="G7" i="48"/>
  <c r="G8" i="48"/>
  <c r="G9" i="48"/>
  <c r="G10" i="48"/>
  <c r="G11" i="48"/>
  <c r="F11" i="48"/>
  <c r="E11" i="48"/>
  <c r="G4" i="47"/>
  <c r="G5" i="47"/>
  <c r="G6" i="47"/>
  <c r="G7" i="47"/>
  <c r="G8" i="47"/>
  <c r="G9" i="47"/>
  <c r="G10" i="47"/>
  <c r="G11" i="47"/>
  <c r="G12" i="47"/>
  <c r="G13" i="47"/>
  <c r="G14" i="47"/>
  <c r="G15" i="47"/>
  <c r="G16" i="47"/>
  <c r="G17" i="47"/>
  <c r="G18" i="47"/>
  <c r="F18" i="47"/>
  <c r="E18" i="47"/>
  <c r="G4" i="46"/>
  <c r="G5" i="46"/>
  <c r="G6" i="46"/>
  <c r="G7" i="46"/>
  <c r="G8" i="46"/>
  <c r="G9" i="46"/>
  <c r="G10" i="46"/>
  <c r="F10" i="46"/>
  <c r="E10" i="46"/>
  <c r="G4" i="45"/>
  <c r="G5" i="45"/>
  <c r="G6" i="45"/>
  <c r="G7" i="45"/>
  <c r="G8" i="45"/>
  <c r="G9" i="45"/>
  <c r="G10" i="45"/>
  <c r="G11" i="45"/>
  <c r="G12" i="45"/>
  <c r="G13" i="45"/>
  <c r="G14" i="45"/>
  <c r="G15" i="45"/>
  <c r="G16" i="45"/>
  <c r="G17" i="45"/>
  <c r="G18" i="45"/>
  <c r="G19" i="45"/>
  <c r="G20" i="45"/>
  <c r="G21" i="45"/>
  <c r="G22" i="45"/>
  <c r="G23" i="45"/>
  <c r="F23" i="45"/>
  <c r="E23" i="45"/>
  <c r="G4" i="44"/>
  <c r="G5" i="44"/>
  <c r="G6" i="44"/>
  <c r="G7" i="44"/>
  <c r="G8" i="44"/>
  <c r="G9" i="44"/>
  <c r="G10" i="44"/>
  <c r="G11" i="44"/>
  <c r="G12" i="44"/>
  <c r="G13" i="44"/>
  <c r="G14" i="44"/>
  <c r="G15" i="44"/>
  <c r="G16" i="44"/>
  <c r="G17" i="44"/>
  <c r="G18" i="44"/>
  <c r="G19" i="44"/>
  <c r="F19" i="44"/>
  <c r="E19" i="44"/>
  <c r="E15" i="43"/>
  <c r="F15" i="43"/>
  <c r="G15" i="43" s="1"/>
  <c r="G4" i="43"/>
  <c r="G6" i="43"/>
  <c r="G7" i="43"/>
  <c r="G8" i="43"/>
  <c r="G9" i="43"/>
  <c r="G10" i="43"/>
  <c r="G11" i="43"/>
  <c r="G12" i="43"/>
  <c r="G13" i="43"/>
  <c r="G14" i="43"/>
  <c r="G11" i="42"/>
  <c r="F11" i="42"/>
  <c r="E11" i="42"/>
  <c r="G10" i="42"/>
  <c r="G9" i="42"/>
  <c r="G8" i="42"/>
  <c r="G7" i="42"/>
  <c r="G6" i="42"/>
  <c r="G5" i="42"/>
  <c r="G4" i="42"/>
  <c r="E18" i="41"/>
  <c r="F18" i="41"/>
  <c r="G18" i="41" s="1"/>
  <c r="G4" i="41"/>
  <c r="G5" i="41"/>
  <c r="G6" i="41"/>
  <c r="G7" i="41"/>
  <c r="G8" i="41"/>
  <c r="G9" i="41"/>
  <c r="G10" i="41"/>
  <c r="G11" i="41"/>
  <c r="G12" i="41"/>
  <c r="G13" i="41"/>
  <c r="G14" i="41"/>
  <c r="G15" i="41"/>
  <c r="G16" i="41"/>
  <c r="G17" i="41"/>
  <c r="G4" i="39"/>
  <c r="G5" i="39"/>
  <c r="G6" i="39"/>
  <c r="G7" i="39"/>
  <c r="G8" i="39"/>
  <c r="G9" i="39"/>
  <c r="G10" i="39"/>
  <c r="G11" i="39"/>
  <c r="G12" i="39"/>
  <c r="F12" i="39"/>
  <c r="E12" i="39"/>
  <c r="G4" i="38"/>
  <c r="G5" i="38"/>
  <c r="G6" i="38"/>
  <c r="G7" i="38"/>
  <c r="G8" i="38"/>
  <c r="G9" i="38"/>
  <c r="G10" i="38"/>
  <c r="G11" i="38"/>
  <c r="G12" i="38"/>
  <c r="G13" i="38"/>
  <c r="G14" i="38"/>
  <c r="G15" i="38"/>
  <c r="F15" i="38"/>
  <c r="E15" i="38"/>
  <c r="G4" i="37"/>
  <c r="G5" i="37"/>
  <c r="G6" i="37"/>
  <c r="G7" i="37"/>
  <c r="G8" i="37"/>
  <c r="G9" i="37"/>
  <c r="G10" i="37"/>
  <c r="G11" i="37"/>
  <c r="G12" i="37"/>
  <c r="G13" i="37"/>
  <c r="G14" i="37"/>
  <c r="G15" i="37"/>
  <c r="G16" i="37"/>
  <c r="G17" i="37"/>
  <c r="F17" i="37"/>
  <c r="E17" i="37"/>
  <c r="F10" i="36"/>
  <c r="E10" i="36"/>
  <c r="G10" i="36" s="1"/>
  <c r="G9" i="36"/>
  <c r="G8" i="36"/>
  <c r="G7" i="36"/>
  <c r="G6" i="36"/>
  <c r="G5" i="36"/>
  <c r="G4" i="36"/>
  <c r="G4" i="35"/>
  <c r="G5" i="35"/>
  <c r="G6" i="35"/>
  <c r="G7" i="35"/>
  <c r="G8" i="35"/>
  <c r="G9" i="35"/>
  <c r="G10" i="35"/>
  <c r="G11" i="35"/>
  <c r="G12" i="35"/>
  <c r="G13" i="35"/>
  <c r="G14" i="35"/>
  <c r="G15" i="35"/>
  <c r="G16" i="35"/>
  <c r="G17" i="35"/>
  <c r="G18" i="35"/>
  <c r="G19" i="35"/>
  <c r="G20" i="35"/>
  <c r="G21" i="35"/>
  <c r="G22" i="35"/>
  <c r="G23" i="35"/>
  <c r="G24" i="35"/>
  <c r="G25" i="35"/>
  <c r="G26" i="35"/>
  <c r="F26" i="35"/>
  <c r="E26" i="35"/>
  <c r="G4" i="34"/>
  <c r="G5" i="34"/>
  <c r="G6" i="34"/>
  <c r="G7" i="34"/>
  <c r="G8" i="34"/>
  <c r="G9" i="34"/>
  <c r="G10" i="34"/>
  <c r="G11" i="34"/>
  <c r="G12" i="34"/>
  <c r="G13" i="34"/>
  <c r="G14" i="34"/>
  <c r="G15" i="34"/>
  <c r="G16" i="34"/>
  <c r="G17" i="34"/>
  <c r="G18" i="34"/>
  <c r="G19" i="34"/>
  <c r="G20" i="34"/>
  <c r="G21" i="34"/>
  <c r="G22" i="34"/>
  <c r="G23" i="34"/>
  <c r="G24" i="34"/>
  <c r="G25" i="34"/>
  <c r="F25" i="34"/>
  <c r="E25" i="34"/>
  <c r="G4" i="33"/>
  <c r="G5" i="33"/>
  <c r="G6" i="33"/>
  <c r="G7" i="33"/>
  <c r="G8" i="33"/>
  <c r="G9" i="33"/>
  <c r="G10" i="33"/>
  <c r="F11" i="33"/>
  <c r="E11" i="33"/>
  <c r="E13" i="6"/>
  <c r="F13" i="6"/>
  <c r="G4" i="6"/>
  <c r="G5" i="6"/>
  <c r="G6" i="6"/>
  <c r="G7" i="6"/>
  <c r="G8" i="6"/>
  <c r="G9" i="6"/>
  <c r="G10" i="6"/>
  <c r="G11" i="6"/>
  <c r="G12" i="6"/>
  <c r="G13" i="6"/>
  <c r="G4" i="32"/>
  <c r="G5" i="32"/>
  <c r="G6" i="32"/>
  <c r="G7" i="32"/>
  <c r="G8" i="32"/>
  <c r="G9" i="32"/>
  <c r="G10" i="32"/>
  <c r="G11" i="32"/>
  <c r="G12" i="32"/>
  <c r="G13" i="32"/>
  <c r="G14" i="32"/>
  <c r="G15" i="32"/>
  <c r="G16" i="32"/>
  <c r="F17" i="32"/>
  <c r="E17" i="32"/>
  <c r="G4" i="31"/>
  <c r="G5" i="31"/>
  <c r="G14" i="31" s="1"/>
  <c r="G6" i="31"/>
  <c r="G7" i="31"/>
  <c r="G8" i="31"/>
  <c r="G9" i="31"/>
  <c r="G10" i="31"/>
  <c r="G11" i="31"/>
  <c r="G12" i="31"/>
  <c r="G13" i="31"/>
  <c r="F14" i="31"/>
  <c r="E14" i="31"/>
  <c r="G4" i="26"/>
  <c r="G5" i="26"/>
  <c r="G6" i="26"/>
  <c r="G7" i="26"/>
  <c r="G8" i="26"/>
  <c r="G9" i="26"/>
  <c r="G10" i="26"/>
  <c r="G11" i="26"/>
  <c r="G12" i="26"/>
  <c r="G4" i="30"/>
  <c r="G5" i="30"/>
  <c r="G6" i="30"/>
  <c r="G7" i="30"/>
  <c r="G8" i="30"/>
  <c r="G9" i="30"/>
  <c r="G10" i="30"/>
  <c r="G11" i="30"/>
  <c r="F11" i="30"/>
  <c r="E11" i="30"/>
  <c r="G4" i="29"/>
  <c r="G5" i="29"/>
  <c r="G8" i="29" s="1"/>
  <c r="G6" i="29"/>
  <c r="G7" i="29"/>
  <c r="F8" i="29"/>
  <c r="E8" i="29"/>
  <c r="G4" i="28"/>
  <c r="G5" i="28"/>
  <c r="G6" i="28"/>
  <c r="G7" i="28"/>
  <c r="G8" i="28"/>
  <c r="G9" i="28"/>
  <c r="G10" i="28"/>
  <c r="G11" i="28"/>
  <c r="G12" i="28"/>
  <c r="G13" i="28"/>
  <c r="G14" i="28"/>
  <c r="G15" i="28"/>
  <c r="G16" i="28"/>
  <c r="G17" i="28"/>
  <c r="G18" i="28"/>
  <c r="G19" i="28"/>
  <c r="F19" i="28"/>
  <c r="E19" i="28"/>
  <c r="G13" i="26"/>
  <c r="F13" i="26"/>
  <c r="E13" i="26"/>
  <c r="G4" i="25"/>
  <c r="G5" i="25"/>
  <c r="G18" i="25" s="1"/>
  <c r="G6" i="25"/>
  <c r="G7" i="25"/>
  <c r="G8" i="25"/>
  <c r="G9" i="25"/>
  <c r="G10" i="25"/>
  <c r="G11" i="25"/>
  <c r="G12" i="25"/>
  <c r="G13" i="25"/>
  <c r="G14" i="25"/>
  <c r="G15" i="25"/>
  <c r="G16" i="25"/>
  <c r="G17" i="25"/>
  <c r="F18" i="25"/>
  <c r="E18" i="25"/>
  <c r="G4" i="24"/>
  <c r="G5" i="24"/>
  <c r="G6" i="24"/>
  <c r="G7" i="24"/>
  <c r="G8" i="24"/>
  <c r="G9" i="24"/>
  <c r="G10" i="24"/>
  <c r="G11" i="24"/>
  <c r="G12" i="24"/>
  <c r="F13" i="24"/>
  <c r="E13" i="24"/>
  <c r="G13" i="24"/>
  <c r="G4" i="23"/>
  <c r="G5" i="23"/>
  <c r="G6" i="23"/>
  <c r="G7" i="23"/>
  <c r="G8" i="23"/>
  <c r="G9" i="23"/>
  <c r="G10" i="23"/>
  <c r="G11" i="23"/>
  <c r="G12" i="23"/>
  <c r="G13" i="23"/>
  <c r="F13" i="23"/>
  <c r="E13" i="23"/>
  <c r="G4" i="22"/>
  <c r="G5" i="22"/>
  <c r="G6" i="22"/>
  <c r="G7" i="22"/>
  <c r="G8" i="22"/>
  <c r="G9" i="22"/>
  <c r="F9" i="22"/>
  <c r="E9" i="22"/>
  <c r="G4" i="21"/>
  <c r="G5" i="21"/>
  <c r="G6" i="21"/>
  <c r="F7" i="21"/>
  <c r="E7" i="21"/>
  <c r="G7" i="21" s="1"/>
  <c r="F14" i="20"/>
  <c r="G4" i="20"/>
  <c r="G5" i="20"/>
  <c r="G6" i="20"/>
  <c r="G7" i="20"/>
  <c r="G8" i="20"/>
  <c r="G9" i="20"/>
  <c r="G10" i="20"/>
  <c r="G11" i="20"/>
  <c r="G12" i="20"/>
  <c r="G13" i="20"/>
  <c r="G14" i="20"/>
  <c r="E14" i="20"/>
  <c r="E10" i="19"/>
  <c r="F10" i="19"/>
  <c r="G10" i="19"/>
  <c r="G9" i="19"/>
  <c r="G8" i="19"/>
  <c r="G7" i="19"/>
  <c r="G6" i="19"/>
  <c r="G5" i="19"/>
  <c r="G4" i="19"/>
  <c r="G4" i="17"/>
  <c r="G5" i="17"/>
  <c r="G6" i="17"/>
  <c r="G7" i="17"/>
  <c r="G8" i="17"/>
  <c r="G9" i="17"/>
  <c r="G10" i="17"/>
  <c r="G11" i="17"/>
  <c r="G12" i="17"/>
  <c r="G13" i="17"/>
  <c r="G14" i="17"/>
  <c r="G15" i="17"/>
  <c r="F16" i="17"/>
  <c r="E16" i="17"/>
  <c r="E19" i="9"/>
  <c r="F19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4" i="16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4" i="15"/>
  <c r="G5" i="15"/>
  <c r="G6" i="15"/>
  <c r="G7" i="15"/>
  <c r="G8" i="15"/>
  <c r="G9" i="15"/>
  <c r="G10" i="15"/>
  <c r="G11" i="15"/>
  <c r="F19" i="16"/>
  <c r="E19" i="16"/>
  <c r="F12" i="15"/>
  <c r="E12" i="15"/>
  <c r="F18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E18" i="7"/>
  <c r="G4" i="7"/>
  <c r="G5" i="7"/>
  <c r="G4" i="14"/>
  <c r="G5" i="14"/>
  <c r="G6" i="14"/>
  <c r="G7" i="14"/>
  <c r="G8" i="14"/>
  <c r="G9" i="14"/>
  <c r="G10" i="14"/>
  <c r="G11" i="14"/>
  <c r="F12" i="14"/>
  <c r="E12" i="14"/>
  <c r="E27" i="13"/>
  <c r="F27" i="13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F25" i="3"/>
  <c r="E25" i="3"/>
  <c r="E19" i="10"/>
  <c r="F19" i="10"/>
  <c r="G19" i="10"/>
  <c r="G17" i="61" l="1"/>
  <c r="G17" i="60"/>
  <c r="G11" i="59"/>
  <c r="G23" i="57"/>
  <c r="G11" i="55"/>
  <c r="G11" i="33"/>
  <c r="G17" i="32"/>
  <c r="G16" i="17"/>
  <c r="G19" i="16"/>
  <c r="G12" i="15"/>
  <c r="G12" i="14"/>
  <c r="C74" i="2"/>
  <c r="C76" i="2" s="1"/>
  <c r="D74" i="2"/>
  <c r="D76" i="2" s="1"/>
  <c r="E74" i="2"/>
  <c r="E76" i="2" s="1"/>
  <c r="F74" i="2"/>
  <c r="F76" i="2" s="1"/>
  <c r="G74" i="2"/>
  <c r="G76" i="2" s="1"/>
  <c r="C70" i="2"/>
  <c r="D70" i="2"/>
  <c r="E70" i="2"/>
  <c r="F70" i="2"/>
  <c r="G70" i="2"/>
  <c r="C64" i="2"/>
  <c r="D64" i="2"/>
  <c r="E64" i="2"/>
  <c r="F64" i="2"/>
  <c r="G64" i="2"/>
  <c r="C58" i="2"/>
  <c r="D58" i="2"/>
  <c r="E58" i="2"/>
  <c r="F58" i="2"/>
  <c r="G58" i="2"/>
  <c r="C55" i="2"/>
  <c r="D55" i="2"/>
  <c r="E55" i="2"/>
  <c r="F55" i="2"/>
  <c r="G55" i="2"/>
  <c r="C51" i="2"/>
  <c r="D51" i="2"/>
  <c r="E51" i="2"/>
  <c r="F51" i="2"/>
  <c r="G51" i="2"/>
  <c r="C47" i="2"/>
  <c r="D47" i="2"/>
  <c r="E47" i="2"/>
  <c r="F47" i="2"/>
  <c r="G47" i="2"/>
  <c r="C43" i="2"/>
  <c r="D43" i="2"/>
  <c r="E43" i="2"/>
  <c r="F43" i="2"/>
  <c r="G43" i="2"/>
  <c r="C35" i="2"/>
  <c r="D35" i="2"/>
  <c r="E35" i="2"/>
  <c r="F35" i="2"/>
  <c r="G35" i="2"/>
  <c r="C30" i="2"/>
  <c r="D30" i="2"/>
  <c r="E30" i="2"/>
  <c r="F30" i="2"/>
  <c r="G30" i="2"/>
  <c r="C24" i="2"/>
  <c r="D24" i="2"/>
  <c r="E24" i="2"/>
  <c r="F24" i="2"/>
  <c r="G24" i="2"/>
  <c r="C19" i="2"/>
  <c r="D19" i="2"/>
  <c r="E19" i="2"/>
  <c r="F19" i="2"/>
  <c r="G19" i="2"/>
  <c r="E14" i="2"/>
  <c r="F14" i="2"/>
  <c r="G14" i="2"/>
  <c r="D14" i="2"/>
  <c r="C14" i="2"/>
  <c r="G8" i="2"/>
  <c r="F8" i="2"/>
  <c r="E8" i="2"/>
  <c r="D8" i="2"/>
  <c r="C8" i="2"/>
</calcChain>
</file>

<file path=xl/sharedStrings.xml><?xml version="1.0" encoding="utf-8"?>
<sst xmlns="http://schemas.openxmlformats.org/spreadsheetml/2006/main" count="2573" uniqueCount="1273">
  <si>
    <t>الجزائر الوسطى</t>
  </si>
  <si>
    <t>سيدي امحمد</t>
  </si>
  <si>
    <t>المدنية</t>
  </si>
  <si>
    <t>المرادية</t>
  </si>
  <si>
    <t>دائرة سيدي امحمد</t>
  </si>
  <si>
    <t>دائرة باب الواد</t>
  </si>
  <si>
    <t>باب الواد</t>
  </si>
  <si>
    <t>القصبة</t>
  </si>
  <si>
    <t>بولوغين</t>
  </si>
  <si>
    <t>واد قريش</t>
  </si>
  <si>
    <t>رايس حميدو</t>
  </si>
  <si>
    <t>دائرة حسين داي</t>
  </si>
  <si>
    <t>المقارية</t>
  </si>
  <si>
    <t>حسين داي</t>
  </si>
  <si>
    <t>القبة</t>
  </si>
  <si>
    <t>دائرة بوزريعة</t>
  </si>
  <si>
    <t>بن عكنون</t>
  </si>
  <si>
    <t>بني مسوس</t>
  </si>
  <si>
    <t>بوزريعة</t>
  </si>
  <si>
    <t>الأبيار</t>
  </si>
  <si>
    <t>دائرة بئر مراد رايس</t>
  </si>
  <si>
    <t>بئر مراد رايس</t>
  </si>
  <si>
    <t>بئر خادم</t>
  </si>
  <si>
    <t>جسر قسنطينة</t>
  </si>
  <si>
    <t>حيدرة</t>
  </si>
  <si>
    <t>سحاولة</t>
  </si>
  <si>
    <t>باش جراح</t>
  </si>
  <si>
    <t>بوروبة</t>
  </si>
  <si>
    <t>الحراش</t>
  </si>
  <si>
    <t>وادي السمار</t>
  </si>
  <si>
    <t>دائرة الدار البيضاء</t>
  </si>
  <si>
    <t>عين طاية</t>
  </si>
  <si>
    <t>باب الزوار</t>
  </si>
  <si>
    <t>برج البحري</t>
  </si>
  <si>
    <t>برج الكيفان</t>
  </si>
  <si>
    <t>الدار البيضاء</t>
  </si>
  <si>
    <t>المرسى</t>
  </si>
  <si>
    <t>المحمدية</t>
  </si>
  <si>
    <t>دائرة شراقة</t>
  </si>
  <si>
    <t>عين البنيان</t>
  </si>
  <si>
    <t>الشراقة</t>
  </si>
  <si>
    <t>دالي ابراهيم</t>
  </si>
  <si>
    <t>أولاد فايت</t>
  </si>
  <si>
    <t>الحمامات</t>
  </si>
  <si>
    <t>السويدانية</t>
  </si>
  <si>
    <t>سطاوالي</t>
  </si>
  <si>
    <t>زرالدة</t>
  </si>
  <si>
    <t>دائرة زرالدة</t>
  </si>
  <si>
    <t>دائرة درارية</t>
  </si>
  <si>
    <t>بابا حسن</t>
  </si>
  <si>
    <t>دويرة</t>
  </si>
  <si>
    <t>الدرارية</t>
  </si>
  <si>
    <t>العاشور</t>
  </si>
  <si>
    <t>خرايسية</t>
  </si>
  <si>
    <t>دائرة بئر توتة</t>
  </si>
  <si>
    <t>بئر توتة</t>
  </si>
  <si>
    <t>أولاد شبل</t>
  </si>
  <si>
    <t>تسالة المرجة</t>
  </si>
  <si>
    <t>براقي</t>
  </si>
  <si>
    <t>الكاليتوس</t>
  </si>
  <si>
    <t>سيدي موسى</t>
  </si>
  <si>
    <t>دائرة براقي</t>
  </si>
  <si>
    <t>هراوة</t>
  </si>
  <si>
    <t>الرغاية</t>
  </si>
  <si>
    <t>الرويبة</t>
  </si>
  <si>
    <t>دائرة الرويبة</t>
  </si>
  <si>
    <t>الحامة - العناصر بلوزداد سابقا</t>
  </si>
  <si>
    <t>دائرة  الحراش</t>
  </si>
  <si>
    <t xml:space="preserve">سيدي عبد الله </t>
  </si>
  <si>
    <t xml:space="preserve">المعالمة </t>
  </si>
  <si>
    <t xml:space="preserve">الرحمانية </t>
  </si>
  <si>
    <t>المجموع</t>
  </si>
  <si>
    <t xml:space="preserve">الدوائر </t>
  </si>
  <si>
    <t>البلديات</t>
  </si>
  <si>
    <t>الهيئة الناخبة</t>
  </si>
  <si>
    <t xml:space="preserve">عدد مراكز التصويت </t>
  </si>
  <si>
    <t xml:space="preserve">عدد مكاتب التصويت </t>
  </si>
  <si>
    <t xml:space="preserve">ذكور </t>
  </si>
  <si>
    <t>إناث</t>
  </si>
  <si>
    <t xml:space="preserve">المجموع </t>
  </si>
  <si>
    <t>الرقم</t>
  </si>
  <si>
    <t xml:space="preserve">تسمية المركز </t>
  </si>
  <si>
    <t xml:space="preserve">العنوان </t>
  </si>
  <si>
    <t xml:space="preserve">شارع رفيق جعفر س </t>
  </si>
  <si>
    <t xml:space="preserve">مدرسة العقيد عميروش </t>
  </si>
  <si>
    <t xml:space="preserve">شارع سياخ </t>
  </si>
  <si>
    <t>مدرسة الذكور الجديدة</t>
  </si>
  <si>
    <t xml:space="preserve">طريق الولائي رقم 14 </t>
  </si>
  <si>
    <t xml:space="preserve">ثانوية طارق ابن زياد </t>
  </si>
  <si>
    <t xml:space="preserve">طريق  الولائي رقم 16 </t>
  </si>
  <si>
    <t xml:space="preserve">متقنة باحة مكاوي </t>
  </si>
  <si>
    <t xml:space="preserve">شارع عبد القادر عبيد </t>
  </si>
  <si>
    <t>مدرسة ابو الذر الغفاري</t>
  </si>
  <si>
    <t xml:space="preserve">حي بن طلحة </t>
  </si>
  <si>
    <t>مدرسة بن طلحة الجديدة</t>
  </si>
  <si>
    <t xml:space="preserve">حي بن غازي </t>
  </si>
  <si>
    <t xml:space="preserve">مدرسة بن غازي المختلطة </t>
  </si>
  <si>
    <t xml:space="preserve">حي 200 ا مسكن </t>
  </si>
  <si>
    <t>مدرسة 11 ديسمبر 160</t>
  </si>
  <si>
    <t>مدرسة 11 ديسمبر 360</t>
  </si>
  <si>
    <t xml:space="preserve">حي المرجة </t>
  </si>
  <si>
    <t xml:space="preserve">مدرسة المرجة </t>
  </si>
  <si>
    <t xml:space="preserve">حي عبد القادر عبيد </t>
  </si>
  <si>
    <t>مدرسة 8 ماس 45</t>
  </si>
  <si>
    <t xml:space="preserve">حي المناصرية </t>
  </si>
  <si>
    <t xml:space="preserve">مدرسة دكاني سعيد </t>
  </si>
  <si>
    <t xml:space="preserve">حي 13 هكتار </t>
  </si>
  <si>
    <t xml:space="preserve">مدرسة 13 هكتار </t>
  </si>
  <si>
    <t xml:space="preserve">براقي الشرق </t>
  </si>
  <si>
    <t xml:space="preserve">مدرسة براقي الشرق </t>
  </si>
  <si>
    <t xml:space="preserve">مدرسة السلام </t>
  </si>
  <si>
    <t xml:space="preserve">حي جيلالي بن طلحة </t>
  </si>
  <si>
    <t xml:space="preserve">مدرسة الامير عبد القادر </t>
  </si>
  <si>
    <t xml:space="preserve">مدرسة مالك بن نابي </t>
  </si>
  <si>
    <t xml:space="preserve">مدرسة جيلالي بن عتو </t>
  </si>
  <si>
    <t xml:space="preserve">حي ميهوب </t>
  </si>
  <si>
    <t>مدرسة 5 جويلية 1962</t>
  </si>
  <si>
    <t xml:space="preserve">مدرسة محمد بن شنب </t>
  </si>
  <si>
    <t xml:space="preserve">مدرسة محمد بودومي </t>
  </si>
  <si>
    <t xml:space="preserve">وسط المدينة </t>
  </si>
  <si>
    <t xml:space="preserve">مدرسة محمد الكبير </t>
  </si>
  <si>
    <t xml:space="preserve">مدرسة البرتقال </t>
  </si>
  <si>
    <t xml:space="preserve">مدرسة مصطفى زريقي </t>
  </si>
  <si>
    <t xml:space="preserve">حي سبيعات </t>
  </si>
  <si>
    <t xml:space="preserve">مدرسة احمد  رزيق </t>
  </si>
  <si>
    <t>حي بن شوبان</t>
  </si>
  <si>
    <t xml:space="preserve">مدرسة بن شوبان </t>
  </si>
  <si>
    <t xml:space="preserve">حوش رويبة </t>
  </si>
  <si>
    <t xml:space="preserve">مدرسة حوشين عيسى </t>
  </si>
  <si>
    <t xml:space="preserve">الحميز </t>
  </si>
  <si>
    <t xml:space="preserve">مدرسة النصر </t>
  </si>
  <si>
    <t xml:space="preserve">حي السواشات </t>
  </si>
  <si>
    <t xml:space="preserve">مدرسة السويشات </t>
  </si>
  <si>
    <t xml:space="preserve">مدرسة محمد ضريف </t>
  </si>
  <si>
    <t xml:space="preserve">مدرسة عبد المجيد علاهم </t>
  </si>
  <si>
    <t xml:space="preserve">حي كاديت </t>
  </si>
  <si>
    <t xml:space="preserve">مدرسة اسحاق محمد كاديت </t>
  </si>
  <si>
    <t xml:space="preserve">دوار المرجة </t>
  </si>
  <si>
    <t xml:space="preserve">حي دغافلة </t>
  </si>
  <si>
    <t xml:space="preserve">مدرسة دغافلة </t>
  </si>
  <si>
    <t xml:space="preserve">حي سواشات </t>
  </si>
  <si>
    <t xml:space="preserve">مدرسة علي عبيلة سواشات </t>
  </si>
  <si>
    <t xml:space="preserve">مستشفى وسط المدينة </t>
  </si>
  <si>
    <t xml:space="preserve">شارع اول نوفمبر </t>
  </si>
  <si>
    <t xml:space="preserve">مدرسة الذكور </t>
  </si>
  <si>
    <t xml:space="preserve">مدرسة البنات </t>
  </si>
  <si>
    <t xml:space="preserve">شارع بلال </t>
  </si>
  <si>
    <t>مدرسة بلال بوعلام 1</t>
  </si>
  <si>
    <t xml:space="preserve">شارع بن سعة </t>
  </si>
  <si>
    <t xml:space="preserve">مدرسة بن فضة عيسى </t>
  </si>
  <si>
    <t xml:space="preserve">حي 500 مسكن </t>
  </si>
  <si>
    <t xml:space="preserve">مدرسة الاخوة بوسالم </t>
  </si>
  <si>
    <t xml:space="preserve">حي اول نوفمبر </t>
  </si>
  <si>
    <t xml:space="preserve">مدرسة اول نوفمبر </t>
  </si>
  <si>
    <t xml:space="preserve">شارع القربة الفلاحية مزفران </t>
  </si>
  <si>
    <t xml:space="preserve">مدرسة 1 القربة الفلاحية </t>
  </si>
  <si>
    <t xml:space="preserve">شارع القرية الفلاحية مزفران </t>
  </si>
  <si>
    <t xml:space="preserve">مدرسة 2 القرية الفلاحية </t>
  </si>
  <si>
    <t xml:space="preserve">حي الخلوفي </t>
  </si>
  <si>
    <t xml:space="preserve">مدرسة خلوفي جيلالي </t>
  </si>
  <si>
    <t xml:space="preserve">حي محسن محمد </t>
  </si>
  <si>
    <t xml:space="preserve">مدرسة محسن محمد </t>
  </si>
  <si>
    <t xml:space="preserve">هضاب زرالدة </t>
  </si>
  <si>
    <t xml:space="preserve">مدرسة الهضاب </t>
  </si>
  <si>
    <t xml:space="preserve">تجزئة سيدي منيف </t>
  </si>
  <si>
    <t xml:space="preserve">مدرسة عزوز عبد الله </t>
  </si>
  <si>
    <t xml:space="preserve">حي التجزئة الشرقية </t>
  </si>
  <si>
    <t xml:space="preserve">متوسطة علي خوخة </t>
  </si>
  <si>
    <t xml:space="preserve">مدرسة عبان رمضان </t>
  </si>
  <si>
    <t xml:space="preserve">مدرسة محمد خميستي </t>
  </si>
  <si>
    <t xml:space="preserve">مدرسة لعروسي زواوة </t>
  </si>
  <si>
    <t xml:space="preserve">مدرسة عساوي عبد القادر </t>
  </si>
  <si>
    <t xml:space="preserve">مدرسة العربي قدور </t>
  </si>
  <si>
    <t xml:space="preserve">مدرسة القرية الفلاحية 1 بنين </t>
  </si>
  <si>
    <t>مدرسة القرية الفلاحية بنات 3</t>
  </si>
  <si>
    <t xml:space="preserve">مدرسة مولود فرعون </t>
  </si>
  <si>
    <t>مدرسة عروة احمد</t>
  </si>
  <si>
    <t xml:space="preserve">مدرسة مليل فاطمة الزهراء </t>
  </si>
  <si>
    <t xml:space="preserve">مدرسة مفدي زكريا </t>
  </si>
  <si>
    <t xml:space="preserve">مركز الكثبان </t>
  </si>
  <si>
    <t>مركز بوشاوي 3</t>
  </si>
  <si>
    <t xml:space="preserve">مركز قدور شغلال </t>
  </si>
  <si>
    <t xml:space="preserve">متوسطة حسيبة بن بوعلي </t>
  </si>
  <si>
    <t xml:space="preserve">شارع عبان رمضان </t>
  </si>
  <si>
    <t xml:space="preserve">شارع ميهوبي محمد </t>
  </si>
  <si>
    <t xml:space="preserve">حي زواوي </t>
  </si>
  <si>
    <t xml:space="preserve">حي كاوش </t>
  </si>
  <si>
    <t xml:space="preserve">حي الشراقة  الكبيرة </t>
  </si>
  <si>
    <t xml:space="preserve">القرية الفلاحية الافريقية </t>
  </si>
  <si>
    <t xml:space="preserve">بوشاوي مركز </t>
  </si>
  <si>
    <t xml:space="preserve">بوشاوي بحري </t>
  </si>
  <si>
    <t xml:space="preserve">طريق اولاد فايت </t>
  </si>
  <si>
    <t xml:space="preserve">حي 250 مسكن </t>
  </si>
  <si>
    <t xml:space="preserve">حي 602 مسكن الكثبان </t>
  </si>
  <si>
    <t xml:space="preserve">تجرئة بوشاوي </t>
  </si>
  <si>
    <t xml:space="preserve">مركز الشراقة </t>
  </si>
  <si>
    <t xml:space="preserve">طريق الكثبان </t>
  </si>
  <si>
    <t xml:space="preserve">مدرسة جعفر محمد </t>
  </si>
  <si>
    <t xml:space="preserve">مدرسة زعيمي محمد </t>
  </si>
  <si>
    <t xml:space="preserve">مدرسة الاخوة ثليجاني </t>
  </si>
  <si>
    <t xml:space="preserve">مدرسة بن عتو رابح </t>
  </si>
  <si>
    <t xml:space="preserve">مدرسة الاخوة فروخي </t>
  </si>
  <si>
    <t xml:space="preserve">مدرسة علي بوحجة </t>
  </si>
  <si>
    <t xml:space="preserve">مدرسة عثمان طولبة ائر توتة </t>
  </si>
  <si>
    <t xml:space="preserve">مدرسة حراوي محمد </t>
  </si>
  <si>
    <t xml:space="preserve">مدرسة 150 مسكن </t>
  </si>
  <si>
    <t xml:space="preserve">مركز حي النخيل </t>
  </si>
  <si>
    <t xml:space="preserve">مركز بابا علي جديدة </t>
  </si>
  <si>
    <t>مدرسة 2160 مسكن س امحمد</t>
  </si>
  <si>
    <t xml:space="preserve">مركز حي 1680 مسكن </t>
  </si>
  <si>
    <t xml:space="preserve">شارع خميستي سعد </t>
  </si>
  <si>
    <t xml:space="preserve">بئر توتة مركز </t>
  </si>
  <si>
    <t xml:space="preserve">بابا علي مركز </t>
  </si>
  <si>
    <t xml:space="preserve">بابا ازوين مركز </t>
  </si>
  <si>
    <t xml:space="preserve">سيدي امحمد مركز </t>
  </si>
  <si>
    <t xml:space="preserve">علي بوحاجة مركز </t>
  </si>
  <si>
    <t xml:space="preserve">داس سي لخضر </t>
  </si>
  <si>
    <t xml:space="preserve">حي 150 مسكن بئر توتة </t>
  </si>
  <si>
    <t xml:space="preserve">حي النخيل بئر توتة </t>
  </si>
  <si>
    <t xml:space="preserve">حي بابا علي </t>
  </si>
  <si>
    <t>حي 2160مسكن سيدي امحمد</t>
  </si>
  <si>
    <t xml:space="preserve">مدرسة اولاد شبل </t>
  </si>
  <si>
    <t xml:space="preserve">متوسطة حي الشعبية </t>
  </si>
  <si>
    <t xml:space="preserve">مدرسة بهارية </t>
  </si>
  <si>
    <t xml:space="preserve">مدرسة منتنان </t>
  </si>
  <si>
    <t xml:space="preserve">مدرسة الاخوة خليل </t>
  </si>
  <si>
    <t xml:space="preserve">مدرسة محامدية </t>
  </si>
  <si>
    <t>مسكن2</t>
  </si>
  <si>
    <t>مدرسة حي 3216 مسكن2</t>
  </si>
  <si>
    <t xml:space="preserve">مدرسة محمد كيراري </t>
  </si>
  <si>
    <t>اولاد شبل مركز</t>
  </si>
  <si>
    <t xml:space="preserve">حي شعبية </t>
  </si>
  <si>
    <t xml:space="preserve">بحايرية </t>
  </si>
  <si>
    <t xml:space="preserve">حي امنتنان </t>
  </si>
  <si>
    <t>امحامدية مركز</t>
  </si>
  <si>
    <t xml:space="preserve">حي 3216مسكن </t>
  </si>
  <si>
    <t xml:space="preserve">حي 3216 مسكن </t>
  </si>
  <si>
    <t xml:space="preserve">مزرعة دربان رابح </t>
  </si>
  <si>
    <t xml:space="preserve">حي 1078 مسكن بن طلحة </t>
  </si>
  <si>
    <t xml:space="preserve">حي 1200 05 جويلية  </t>
  </si>
  <si>
    <t>/</t>
  </si>
  <si>
    <t xml:space="preserve">مدرسة طلحة علي </t>
  </si>
  <si>
    <t xml:space="preserve">مدرسة القصر الاحمر </t>
  </si>
  <si>
    <t xml:space="preserve">مدرسة الاخوة سعد الله شراربة </t>
  </si>
  <si>
    <t xml:space="preserve">مدرسة الامير عبد القادر شراربة </t>
  </si>
  <si>
    <t xml:space="preserve">مدرسة حي </t>
  </si>
  <si>
    <t xml:space="preserve">مدرسة ابو بكر الرازي </t>
  </si>
  <si>
    <t xml:space="preserve">مدرسة كريفة محمد </t>
  </si>
  <si>
    <t xml:space="preserve">مدرسة 917 مسكن محمد </t>
  </si>
  <si>
    <t xml:space="preserve">مدرسة اسامر محمد </t>
  </si>
  <si>
    <t xml:space="preserve">مدرسة الاخوة زواوي </t>
  </si>
  <si>
    <t xml:space="preserve">مدرسة الاخوة زيدان </t>
  </si>
  <si>
    <t xml:space="preserve">مدرسة الطاهر الجزائري </t>
  </si>
  <si>
    <t xml:space="preserve">مدرسة المناصرية الجديدة </t>
  </si>
  <si>
    <t xml:space="preserve">مدرسة بيلو الجديدة </t>
  </si>
  <si>
    <t xml:space="preserve">مدرسة 621 سكن الجديدة </t>
  </si>
  <si>
    <t xml:space="preserve">مدرسة الاخوة موقافي </t>
  </si>
  <si>
    <t xml:space="preserve">مدرسة الشيخ حداد </t>
  </si>
  <si>
    <t xml:space="preserve">مدرسة الدالية الجديدة </t>
  </si>
  <si>
    <t xml:space="preserve">مدرسة الفضيل الورتيلاني </t>
  </si>
  <si>
    <t xml:space="preserve">مدرسة محمد مادي </t>
  </si>
  <si>
    <t xml:space="preserve">مدرسة الشهيد احمد قانة </t>
  </si>
  <si>
    <t xml:space="preserve">مدرسة موساوي محمد </t>
  </si>
  <si>
    <t xml:space="preserve">مدرسة بلعقيد بومعقاني </t>
  </si>
  <si>
    <t>مدرسة بلعقيد بومعقافي</t>
  </si>
  <si>
    <t xml:space="preserve">حي مونية الكاليتوس </t>
  </si>
  <si>
    <t xml:space="preserve">حي القصر الاحمر </t>
  </si>
  <si>
    <t xml:space="preserve">حي الكاليتوس </t>
  </si>
  <si>
    <t xml:space="preserve">حي زواوي الكاليتوس </t>
  </si>
  <si>
    <t xml:space="preserve">حي 1600 مسكن </t>
  </si>
  <si>
    <t xml:space="preserve">حي ابو بكر الغازي </t>
  </si>
  <si>
    <t xml:space="preserve">حي كوريفة </t>
  </si>
  <si>
    <t xml:space="preserve">حي 917 مسكن </t>
  </si>
  <si>
    <t xml:space="preserve">حي حيدوسي </t>
  </si>
  <si>
    <t>حي شراربة 01</t>
  </si>
  <si>
    <t xml:space="preserve">حي الجمهورية </t>
  </si>
  <si>
    <t xml:space="preserve">حي ا1600 مسكن </t>
  </si>
  <si>
    <t xml:space="preserve">حي الكبير الكاليتوس </t>
  </si>
  <si>
    <t xml:space="preserve">حي 621 مسكن </t>
  </si>
  <si>
    <t xml:space="preserve">شارع الاخوة فرواس </t>
  </si>
  <si>
    <t xml:space="preserve">حي سيدي مبارك الشراربة </t>
  </si>
  <si>
    <t xml:space="preserve">حي الزواوي </t>
  </si>
  <si>
    <t xml:space="preserve">حي محمد مادي </t>
  </si>
  <si>
    <t xml:space="preserve">حي الشهيد احمد قانة </t>
  </si>
  <si>
    <t xml:space="preserve">حي موساوي محمد </t>
  </si>
  <si>
    <t xml:space="preserve">حي بلعيد بومعقافي </t>
  </si>
  <si>
    <t xml:space="preserve">مدرسة القايد القاسم </t>
  </si>
  <si>
    <t xml:space="preserve">مدرسة الهواورة </t>
  </si>
  <si>
    <t xml:space="preserve">مدرسة الرايس </t>
  </si>
  <si>
    <t xml:space="preserve">مدرسة الدهيمات </t>
  </si>
  <si>
    <t xml:space="preserve">مدرسة الزواوي </t>
  </si>
  <si>
    <t xml:space="preserve">مدرسة اولاد علال </t>
  </si>
  <si>
    <t xml:space="preserve">مدرسة بنات و ذكور </t>
  </si>
  <si>
    <t xml:space="preserve">مدخل طريق البنك </t>
  </si>
  <si>
    <t xml:space="preserve">حي الهواورة </t>
  </si>
  <si>
    <t>حي الرايس</t>
  </si>
  <si>
    <t xml:space="preserve">حي الدهيمات </t>
  </si>
  <si>
    <t xml:space="preserve">اولاد علال </t>
  </si>
  <si>
    <t xml:space="preserve">سيدي موسى مركز </t>
  </si>
  <si>
    <t xml:space="preserve">مدرسة العربي احمد </t>
  </si>
  <si>
    <t xml:space="preserve">مدرسة هراوة </t>
  </si>
  <si>
    <t xml:space="preserve">مدرسة عين الكحلة </t>
  </si>
  <si>
    <t>مدرسة عين الكحلة 2</t>
  </si>
  <si>
    <t xml:space="preserve">مدرسة ديدوش مراد </t>
  </si>
  <si>
    <t xml:space="preserve">مدرسة حي 762 مسكن </t>
  </si>
  <si>
    <t>مدرسة حي 668</t>
  </si>
  <si>
    <t xml:space="preserve">الشهيد بلقالم عبد العزيز </t>
  </si>
  <si>
    <t xml:space="preserve">محل اولاد معمر </t>
  </si>
  <si>
    <t xml:space="preserve">عين الكحلة </t>
  </si>
  <si>
    <t xml:space="preserve">مركز هراوة </t>
  </si>
  <si>
    <t xml:space="preserve">حي 762 مسكن </t>
  </si>
  <si>
    <t xml:space="preserve">حي 668 مسكن </t>
  </si>
  <si>
    <t xml:space="preserve">حي المعامرية </t>
  </si>
  <si>
    <t xml:space="preserve">مدرسة 1100 مسكن </t>
  </si>
  <si>
    <t xml:space="preserve">مدرسة العقيد لطفي </t>
  </si>
  <si>
    <t xml:space="preserve">مدرسة 1450 مسكن </t>
  </si>
  <si>
    <t xml:space="preserve">مدرسة الشيخ بن باديس </t>
  </si>
  <si>
    <t xml:space="preserve">مدرسة 80 مسكن  </t>
  </si>
  <si>
    <t xml:space="preserve">مدرسة محمد الباي </t>
  </si>
  <si>
    <t xml:space="preserve">مدرسة علي غزالي </t>
  </si>
  <si>
    <t>مدرسة علي خوجة 2</t>
  </si>
  <si>
    <t xml:space="preserve">مدرسة عقبة </t>
  </si>
  <si>
    <t xml:space="preserve">مدرسة شب شب </t>
  </si>
  <si>
    <t xml:space="preserve">مدرسة محمد بونعامة </t>
  </si>
  <si>
    <t xml:space="preserve">مدرسة عيسات مصطفى </t>
  </si>
  <si>
    <t xml:space="preserve">مولود قاسم نايت بلقاسم </t>
  </si>
  <si>
    <t>مركز عقبة 23</t>
  </si>
  <si>
    <t xml:space="preserve">مركز سعيد غربي </t>
  </si>
  <si>
    <t xml:space="preserve">حي بوقرعة سيقنة سابقا </t>
  </si>
  <si>
    <t xml:space="preserve">حي زبربر الكروس </t>
  </si>
  <si>
    <t xml:space="preserve">حي الونشريس </t>
  </si>
  <si>
    <t xml:space="preserve">حي الاريس </t>
  </si>
  <si>
    <t xml:space="preserve">حي 80 مسكن </t>
  </si>
  <si>
    <t xml:space="preserve">حي محمد الباي </t>
  </si>
  <si>
    <t xml:space="preserve">حي محمد جعفري </t>
  </si>
  <si>
    <t xml:space="preserve">حي علي خوجة </t>
  </si>
  <si>
    <t xml:space="preserve">حي شب شب </t>
  </si>
  <si>
    <t xml:space="preserve">حي بوزقزة وسط المدينة </t>
  </si>
  <si>
    <t xml:space="preserve">منطقة عيسات مصطفى </t>
  </si>
  <si>
    <t xml:space="preserve">حي 1450 سكن </t>
  </si>
  <si>
    <t xml:space="preserve">حي مراد </t>
  </si>
  <si>
    <t xml:space="preserve">اكمالية سيدي منيف </t>
  </si>
  <si>
    <t xml:space="preserve">تجزئة سيدي عبد الله </t>
  </si>
  <si>
    <t xml:space="preserve">مدرسة الساحة </t>
  </si>
  <si>
    <t xml:space="preserve">مدرسة لالة خديجة </t>
  </si>
  <si>
    <t xml:space="preserve">مدرسة 20 اوت </t>
  </si>
  <si>
    <t xml:space="preserve">مدرسة طاهر لخضر </t>
  </si>
  <si>
    <t xml:space="preserve">مدرسة القرية الفلاحية البري </t>
  </si>
  <si>
    <t xml:space="preserve">متوسطة مولود فرقان </t>
  </si>
  <si>
    <t xml:space="preserve">مدرسة سيدي فرج </t>
  </si>
  <si>
    <t xml:space="preserve">مدرسة الملعب </t>
  </si>
  <si>
    <t xml:space="preserve">مدرسة شحات رابح </t>
  </si>
  <si>
    <t xml:space="preserve">مركز خايطي احمد </t>
  </si>
  <si>
    <t xml:space="preserve">مركز شاطئ النخيل </t>
  </si>
  <si>
    <t xml:space="preserve">مركز نادي الصنوبر </t>
  </si>
  <si>
    <t xml:space="preserve">نهج قاسي عمار </t>
  </si>
  <si>
    <t xml:space="preserve">حي بازود </t>
  </si>
  <si>
    <t xml:space="preserve">مدينة سطاوالي </t>
  </si>
  <si>
    <t xml:space="preserve">القرية الفلاحية بريجة </t>
  </si>
  <si>
    <t xml:space="preserve">البريجة </t>
  </si>
  <si>
    <t xml:space="preserve">حي سيدي فرج </t>
  </si>
  <si>
    <t xml:space="preserve">شارع الملاعب القديمة </t>
  </si>
  <si>
    <t xml:space="preserve">تجزئة شحات </t>
  </si>
  <si>
    <t xml:space="preserve">تجزئة خايطي </t>
  </si>
  <si>
    <t>تجزئة شاطئ النخيل 02</t>
  </si>
  <si>
    <t xml:space="preserve">نادي الصنوبر </t>
  </si>
  <si>
    <t xml:space="preserve">مدرسة بوغادو جيلالي </t>
  </si>
  <si>
    <t xml:space="preserve">مدرسة عزوني محمد </t>
  </si>
  <si>
    <t xml:space="preserve">مدرسة شرشالي بوعلام </t>
  </si>
  <si>
    <t xml:space="preserve">مدرسة فاطمة زهرة عاشور </t>
  </si>
  <si>
    <t>مدرسة مهدي محمد</t>
  </si>
  <si>
    <t xml:space="preserve">مركز الربوة البيضاء </t>
  </si>
  <si>
    <t xml:space="preserve">شارع ايلول مروان </t>
  </si>
  <si>
    <t xml:space="preserve">حي 40 مسكن </t>
  </si>
  <si>
    <t xml:space="preserve">بلاطو السويدانية </t>
  </si>
  <si>
    <t xml:space="preserve">نهج الاخوة مهدي </t>
  </si>
  <si>
    <t xml:space="preserve">حي مهدي محمد </t>
  </si>
  <si>
    <t xml:space="preserve">حي الربوة البيضاء </t>
  </si>
  <si>
    <t xml:space="preserve">متوسطة المعالمة </t>
  </si>
  <si>
    <t xml:space="preserve">مدرسة حسيبة </t>
  </si>
  <si>
    <t>مدرسة سيدس عبد الله 1</t>
  </si>
  <si>
    <t xml:space="preserve">مدرسة زعاترية </t>
  </si>
  <si>
    <t xml:space="preserve">مدرسة حدادو </t>
  </si>
  <si>
    <t>مدرسة سيدس عبد الله2</t>
  </si>
  <si>
    <t xml:space="preserve">اكمالية تونسي محمد </t>
  </si>
  <si>
    <t xml:space="preserve">مدرسة نفدي زكرياء </t>
  </si>
  <si>
    <t xml:space="preserve">مدرسة محي الدين سليمان </t>
  </si>
  <si>
    <t xml:space="preserve">مدرسة حداش لخضر </t>
  </si>
  <si>
    <t xml:space="preserve">شارع مرزوق </t>
  </si>
  <si>
    <t xml:space="preserve">دوار سيدس عبد الله </t>
  </si>
  <si>
    <t>دوار زعاترية 3</t>
  </si>
  <si>
    <t xml:space="preserve">دوار حدادو </t>
  </si>
  <si>
    <t xml:space="preserve">دوار سيدي عبد الله معالمة </t>
  </si>
  <si>
    <t xml:space="preserve">طريق سيدس عبد الله معالمة </t>
  </si>
  <si>
    <t xml:space="preserve">حي مفدي زكرياء </t>
  </si>
  <si>
    <t xml:space="preserve">حي 50000 مسكن عدل </t>
  </si>
  <si>
    <t xml:space="preserve">مدرسة عاشور عمار </t>
  </si>
  <si>
    <t xml:space="preserve">مدرسة حي النعمان معمري </t>
  </si>
  <si>
    <t xml:space="preserve">مدرسة حي اول نوفمبر </t>
  </si>
  <si>
    <t>شارع حميدي محمد</t>
  </si>
  <si>
    <t xml:space="preserve">حي النعمان العمري </t>
  </si>
  <si>
    <t xml:space="preserve">مدرسة شاتي الفيرور المختلطة </t>
  </si>
  <si>
    <t xml:space="preserve">مدرسة غابة بينام المختلطة </t>
  </si>
  <si>
    <t xml:space="preserve">مدرسة المنار </t>
  </si>
  <si>
    <t xml:space="preserve">مدرسة نجاح </t>
  </si>
  <si>
    <t xml:space="preserve">1 شارع المدارس </t>
  </si>
  <si>
    <t xml:space="preserve">طريق الغابة </t>
  </si>
  <si>
    <t xml:space="preserve">100 طريق الوطني رقم 11 </t>
  </si>
  <si>
    <t xml:space="preserve">قطعة الورود بينام </t>
  </si>
  <si>
    <t xml:space="preserve">نهج حميد قبلاجي </t>
  </si>
  <si>
    <t>مدرسة علي شكير 1</t>
  </si>
  <si>
    <t>مدرسة علي شكير 2</t>
  </si>
  <si>
    <t xml:space="preserve">مدرسة النجد </t>
  </si>
  <si>
    <t xml:space="preserve">متوسطة AADL حي العدل </t>
  </si>
  <si>
    <t xml:space="preserve">مدرسة عبد الرحمان جادي </t>
  </si>
  <si>
    <t xml:space="preserve">مدرسة حي الكرمة </t>
  </si>
  <si>
    <t xml:space="preserve">مدرسة مولاهم </t>
  </si>
  <si>
    <t xml:space="preserve">المدرسة الجديدة </t>
  </si>
  <si>
    <t xml:space="preserve">مدرسة 11 ديسمبر </t>
  </si>
  <si>
    <t xml:space="preserve">شارع عمار بوشاوي وسط المدينة </t>
  </si>
  <si>
    <t xml:space="preserve">بلاطو </t>
  </si>
  <si>
    <t xml:space="preserve">حي العدل اولامي احمد </t>
  </si>
  <si>
    <t xml:space="preserve">حي مسكن تساهمي </t>
  </si>
  <si>
    <t xml:space="preserve">حي الكرمة </t>
  </si>
  <si>
    <t>حي مولاهم</t>
  </si>
  <si>
    <t xml:space="preserve">طريق الدويرة اولاد فايت </t>
  </si>
  <si>
    <t xml:space="preserve">طريق بوشاوي اولاد فايت </t>
  </si>
  <si>
    <t xml:space="preserve">مدرسة عجيسي اكلي </t>
  </si>
  <si>
    <t xml:space="preserve">مدرسة بوزرية عبد الله </t>
  </si>
  <si>
    <t xml:space="preserve">مدرسة بوجوجو مختار </t>
  </si>
  <si>
    <t xml:space="preserve">مدرسة بويدر احمد </t>
  </si>
  <si>
    <t xml:space="preserve">مدرسة الزاوي محمد </t>
  </si>
  <si>
    <t xml:space="preserve">مركز بوعنينبة محمد </t>
  </si>
  <si>
    <t xml:space="preserve">مركز حيدة عمر </t>
  </si>
  <si>
    <t xml:space="preserve">مركز لزغد مصطفى </t>
  </si>
  <si>
    <t xml:space="preserve">مركز المصالحة </t>
  </si>
  <si>
    <t xml:space="preserve">دالي ابراهيم مركز </t>
  </si>
  <si>
    <t xml:space="preserve">تجرئة كليرفال </t>
  </si>
  <si>
    <t xml:space="preserve">حي الرياح الكبرى </t>
  </si>
  <si>
    <t xml:space="preserve">دالي ابراهيم </t>
  </si>
  <si>
    <t xml:space="preserve">طريق احمد اوقاد </t>
  </si>
  <si>
    <t xml:space="preserve">حي قاوش </t>
  </si>
  <si>
    <t xml:space="preserve">حي 550 مسكن </t>
  </si>
  <si>
    <t xml:space="preserve">مدرسة صلاح الدين </t>
  </si>
  <si>
    <t xml:space="preserve">مدرسة ابن خلدون </t>
  </si>
  <si>
    <t xml:space="preserve">اكمالية ابن باديس </t>
  </si>
  <si>
    <t xml:space="preserve">مدرسة الجميلة  </t>
  </si>
  <si>
    <t xml:space="preserve">مدرسة عقبة بن نافع </t>
  </si>
  <si>
    <t xml:space="preserve">مدرسة صارق ابن زياد </t>
  </si>
  <si>
    <t xml:space="preserve">مدرسة جنان مبروك </t>
  </si>
  <si>
    <t xml:space="preserve">مدرسة الحي التقدمي </t>
  </si>
  <si>
    <t xml:space="preserve">مدرسة امبارك الميلي </t>
  </si>
  <si>
    <t xml:space="preserve">مدرسة الصخرة الكبيرة </t>
  </si>
  <si>
    <t xml:space="preserve">مدرسة العربي تبسي </t>
  </si>
  <si>
    <t>مدرسة حي 500مسكن</t>
  </si>
  <si>
    <t xml:space="preserve">مدرسة حي 294 مسكن </t>
  </si>
  <si>
    <t xml:space="preserve">شارع نايت قايد احسن </t>
  </si>
  <si>
    <t xml:space="preserve">شارع عليان احمد </t>
  </si>
  <si>
    <t xml:space="preserve">شارع جبل اوراس </t>
  </si>
  <si>
    <t xml:space="preserve">نهج باستور </t>
  </si>
  <si>
    <t xml:space="preserve">شارع سي لوناس </t>
  </si>
  <si>
    <t>الطريق الوطني رقم 11</t>
  </si>
  <si>
    <t xml:space="preserve">طريق الميناء الصغير </t>
  </si>
  <si>
    <t xml:space="preserve">الحي الثوري </t>
  </si>
  <si>
    <t xml:space="preserve">حي المنظر الجميل </t>
  </si>
  <si>
    <t>حي 11 ديسمر 60</t>
  </si>
  <si>
    <t>الطريق الولائي رقم 11</t>
  </si>
  <si>
    <t xml:space="preserve">حي 500مسكن </t>
  </si>
  <si>
    <t>حي 294مسكن</t>
  </si>
  <si>
    <t xml:space="preserve">مدرسة تاكارلي عبد الغاني </t>
  </si>
  <si>
    <t xml:space="preserve">متوسطة ابن رشد </t>
  </si>
  <si>
    <t xml:space="preserve">مدرسة سبالة </t>
  </si>
  <si>
    <t xml:space="preserve">مدرسة 617 مسكن </t>
  </si>
  <si>
    <t xml:space="preserve">مدرسة بوجمعة تميم </t>
  </si>
  <si>
    <t xml:space="preserve">مدرسة فاطمة نسومر </t>
  </si>
  <si>
    <t>مدرشة حي دريوش محمد</t>
  </si>
  <si>
    <t xml:space="preserve">مركز 1600 مسكن </t>
  </si>
  <si>
    <t xml:space="preserve">مدرسة عبد العزيز احمد </t>
  </si>
  <si>
    <t xml:space="preserve">درارية مركز </t>
  </si>
  <si>
    <t xml:space="preserve">الناحية الثانوية </t>
  </si>
  <si>
    <t>حي617مسكن درارية</t>
  </si>
  <si>
    <t xml:space="preserve">طريق الاعالي درارية </t>
  </si>
  <si>
    <t xml:space="preserve">مزرعة دريوش محمد </t>
  </si>
  <si>
    <t xml:space="preserve">حي 1600 مسكن سبالة درارية </t>
  </si>
  <si>
    <t xml:space="preserve">حي بجبجة وادي الطرفة </t>
  </si>
  <si>
    <t xml:space="preserve">مدرسة البنين الاخوة مهدي </t>
  </si>
  <si>
    <t>مدرسة البنات العيشاوي</t>
  </si>
  <si>
    <t xml:space="preserve">مدرسة عيسات دكاكنة رجال </t>
  </si>
  <si>
    <t xml:space="preserve">مدرسة الرمضانية </t>
  </si>
  <si>
    <t xml:space="preserve">مدرسة حاج يعقوب </t>
  </si>
  <si>
    <t xml:space="preserve">مدرسة سعدون عبد القادر </t>
  </si>
  <si>
    <t xml:space="preserve">متوسطة عياش قطاي </t>
  </si>
  <si>
    <t xml:space="preserve">مدرسة اولاد منديل </t>
  </si>
  <si>
    <t xml:space="preserve">مدرسة دكاكنة عيساتي نساء </t>
  </si>
  <si>
    <t>مدرسة يوسف غبد القادر</t>
  </si>
  <si>
    <t xml:space="preserve">مدرسة 1032 مسكن اولاد منايل  </t>
  </si>
  <si>
    <t xml:space="preserve">مدرسة 1040مسكن الرمضانية </t>
  </si>
  <si>
    <t xml:space="preserve">متوسطة رابح مداس </t>
  </si>
  <si>
    <t xml:space="preserve">متوسطة عبد القادر رمضاني </t>
  </si>
  <si>
    <t xml:space="preserve">مدرسة عمر عاشور </t>
  </si>
  <si>
    <t xml:space="preserve">شارع بلهول دويرة مركز </t>
  </si>
  <si>
    <t xml:space="preserve">شارع رمضاني دويرة مركز </t>
  </si>
  <si>
    <t xml:space="preserve">دوار دكاكنة </t>
  </si>
  <si>
    <t xml:space="preserve">دوار الرمضانية </t>
  </si>
  <si>
    <t xml:space="preserve">دوار حاج يعقوب </t>
  </si>
  <si>
    <t xml:space="preserve">طريق الرحمانية دويرة مركز </t>
  </si>
  <si>
    <t>شارع رنضاني دويرة مركز</t>
  </si>
  <si>
    <t>دوار اولاد منديل</t>
  </si>
  <si>
    <t xml:space="preserve">ارع شرشالي </t>
  </si>
  <si>
    <t xml:space="preserve">حي  1032مسكن </t>
  </si>
  <si>
    <t xml:space="preserve">حي 1040 مسكن </t>
  </si>
  <si>
    <t xml:space="preserve">حي مولين </t>
  </si>
  <si>
    <t xml:space="preserve">حي 1000 مسكن اجتماعي </t>
  </si>
  <si>
    <t xml:space="preserve">حي 1400 مسكن اجتماعي </t>
  </si>
  <si>
    <t xml:space="preserve">المدرسة المختلطة </t>
  </si>
  <si>
    <t xml:space="preserve">مدرسة بومهدي محمد </t>
  </si>
  <si>
    <t xml:space="preserve">مدرسة طايبي محمد </t>
  </si>
  <si>
    <t xml:space="preserve">شارع المدارس بابا حسن مركز </t>
  </si>
  <si>
    <t xml:space="preserve">حي 5 جويلية بابا حسن مركز </t>
  </si>
  <si>
    <t xml:space="preserve">شارع مصطفى بن بولعيد </t>
  </si>
  <si>
    <t xml:space="preserve">حي الوئام </t>
  </si>
  <si>
    <t xml:space="preserve">مدرسة خنيش لخضر </t>
  </si>
  <si>
    <t xml:space="preserve">مدرسة بلعيد حميد </t>
  </si>
  <si>
    <t xml:space="preserve">مدرسة رياح الكبرى </t>
  </si>
  <si>
    <t xml:space="preserve">المجمع المدرسي رقم 02 السبالة </t>
  </si>
  <si>
    <t xml:space="preserve">مدرسة الاخوة عبد العزيز </t>
  </si>
  <si>
    <t xml:space="preserve">حي الشرطة العاشور المركز </t>
  </si>
  <si>
    <t xml:space="preserve">العاشور مركز </t>
  </si>
  <si>
    <t>وادي طرفة</t>
  </si>
  <si>
    <t xml:space="preserve">شارع دهراني عبد القادر وادي الرمان </t>
  </si>
  <si>
    <t xml:space="preserve">حي رياح الكبرى </t>
  </si>
  <si>
    <t xml:space="preserve">1839مسكن النجمع رقم 2 البيانة </t>
  </si>
  <si>
    <t xml:space="preserve">حي الاخوة عبد العزيز </t>
  </si>
  <si>
    <t xml:space="preserve">مدرسة خرايسية مركز </t>
  </si>
  <si>
    <t xml:space="preserve">مدرسة سيدي بوخريص </t>
  </si>
  <si>
    <t xml:space="preserve">مدرسة بن شعاوة </t>
  </si>
  <si>
    <t xml:space="preserve">مدرسة سيدي سليمان </t>
  </si>
  <si>
    <t xml:space="preserve">مركز السلام </t>
  </si>
  <si>
    <t xml:space="preserve">مدرسة حي شرشالي بوعلام </t>
  </si>
  <si>
    <t xml:space="preserve">مدرسة حي بني عبدي </t>
  </si>
  <si>
    <t xml:space="preserve">مدرسة 834مسكن اولاد سليمان </t>
  </si>
  <si>
    <t xml:space="preserve">مركز لعروسي حمود </t>
  </si>
  <si>
    <t xml:space="preserve">مدرسة حي 1200 مسكن </t>
  </si>
  <si>
    <t xml:space="preserve">خرايسية مركز </t>
  </si>
  <si>
    <t xml:space="preserve">حي بن شعاوة </t>
  </si>
  <si>
    <t xml:space="preserve">حي سيدي سليمان </t>
  </si>
  <si>
    <t xml:space="preserve">حي السلام خرايسية </t>
  </si>
  <si>
    <t xml:space="preserve">حي شرشالي بو علام </t>
  </si>
  <si>
    <t xml:space="preserve">حي بني عبدي </t>
  </si>
  <si>
    <t>حي 834مسكن اولاد سليمان 03</t>
  </si>
  <si>
    <t>حي لعروسي حمود</t>
  </si>
  <si>
    <t xml:space="preserve">حي 1200 مسكن </t>
  </si>
  <si>
    <t xml:space="preserve">مدرسة عبد القادر بنية </t>
  </si>
  <si>
    <t xml:space="preserve">مدرسة الطرق الاربعة </t>
  </si>
  <si>
    <t xml:space="preserve">مدرسة سيدي عابد </t>
  </si>
  <si>
    <t xml:space="preserve">مركز علي بوزادة </t>
  </si>
  <si>
    <t xml:space="preserve">مركز الطيب الجغلاني </t>
  </si>
  <si>
    <t xml:space="preserve">مركز الاخوة عيزيو </t>
  </si>
  <si>
    <t xml:space="preserve">مركز حي 1310مسكن </t>
  </si>
  <si>
    <t xml:space="preserve">تسالة المرجة مركز </t>
  </si>
  <si>
    <t xml:space="preserve">4 طرق </t>
  </si>
  <si>
    <t xml:space="preserve">مركز عابد مركز  </t>
  </si>
  <si>
    <t xml:space="preserve">مركز سيدي عباد </t>
  </si>
  <si>
    <t xml:space="preserve">مركز الطيب جغلاني </t>
  </si>
  <si>
    <t xml:space="preserve">تسالة المركز مركز </t>
  </si>
  <si>
    <t>مدرسة ابن تومرت</t>
  </si>
  <si>
    <t>مدرسة حليمة السعدية</t>
  </si>
  <si>
    <t>مدرسة مناني 1</t>
  </si>
  <si>
    <t>مدرسة مناني 2</t>
  </si>
  <si>
    <t>أكمالية سلمان الفارسي</t>
  </si>
  <si>
    <t>مدرسة مجمد بورحلة</t>
  </si>
  <si>
    <t xml:space="preserve">مدرسة محمد مادة </t>
  </si>
  <si>
    <t>مدرسة عيسات ايدير بنات</t>
  </si>
  <si>
    <t>مدرسة سكوتور بنين</t>
  </si>
  <si>
    <t>مدرسة عين الزرقاء بنات</t>
  </si>
  <si>
    <t>مدرسة العربي تبسي</t>
  </si>
  <si>
    <t>مدرسة مشري يوسف بنات</t>
  </si>
  <si>
    <t>مدرسة عبدالرحمان ابن زي</t>
  </si>
  <si>
    <t>مدرسة مصطفى غبوب</t>
  </si>
  <si>
    <t xml:space="preserve">مدرسة أحمد امين بنين </t>
  </si>
  <si>
    <t>مدرسة أحمد امين بنات</t>
  </si>
  <si>
    <t>مدرسة حاج ناصر بنين</t>
  </si>
  <si>
    <t>مدرسة ابن الفحام بنات</t>
  </si>
  <si>
    <t xml:space="preserve">مدرسة ابن رشيق </t>
  </si>
  <si>
    <t>مدرسة الأمومة</t>
  </si>
  <si>
    <t>اكمالية ابن المسيب</t>
  </si>
  <si>
    <t>12 شارع رضا حوحو</t>
  </si>
  <si>
    <t>9 شارع علي عزيل</t>
  </si>
  <si>
    <t>شارع علي ماري</t>
  </si>
  <si>
    <t>14شارع أحمد عروة</t>
  </si>
  <si>
    <t>36 شارع أحمد غرمول</t>
  </si>
  <si>
    <t>شارع محمد بورحلة</t>
  </si>
  <si>
    <t>شارع محمد مادة</t>
  </si>
  <si>
    <t xml:space="preserve">ساحة أول ماي </t>
  </si>
  <si>
    <t>شارع أحمد غرمول</t>
  </si>
  <si>
    <t>1 شارع محمد زكال</t>
  </si>
  <si>
    <t>شارع العربي تبسي</t>
  </si>
  <si>
    <t>ممر مشري يوسف</t>
  </si>
  <si>
    <t>14 شارع عبد القادر مشدال</t>
  </si>
  <si>
    <t>شارع الشهداء</t>
  </si>
  <si>
    <t>2 شارع محمد عروة</t>
  </si>
  <si>
    <t>شارع فينيار</t>
  </si>
  <si>
    <t>1 شارع موبرت</t>
  </si>
  <si>
    <t>شارع رضا حوحو</t>
  </si>
  <si>
    <t>1 شارع الساحة</t>
  </si>
  <si>
    <t>13 نهج سليمان تشوفت</t>
  </si>
  <si>
    <t>مركز المعرج</t>
  </si>
  <si>
    <t>مدرسة الاستقلال بنات</t>
  </si>
  <si>
    <t>متوسطة باستور</t>
  </si>
  <si>
    <t>مدرسة الموحدين بنات</t>
  </si>
  <si>
    <t>متوسطة حريشاد</t>
  </si>
  <si>
    <t xml:space="preserve">مدرسة طه حسين بنين </t>
  </si>
  <si>
    <t>مدرسة طه حسين بنات</t>
  </si>
  <si>
    <t xml:space="preserve">مدرسة علي بومنجل بنين </t>
  </si>
  <si>
    <t xml:space="preserve">مدرسة لا لا فاطمة بنات </t>
  </si>
  <si>
    <t>مدرسة الكاهنة بنات</t>
  </si>
  <si>
    <t xml:space="preserve">مدرسة الأمير خالد بنين </t>
  </si>
  <si>
    <t xml:space="preserve">مدرسة يوغرطة بنين </t>
  </si>
  <si>
    <t xml:space="preserve">مدرسة يوغرطة بنات </t>
  </si>
  <si>
    <t>مدرسة محمد بركاني</t>
  </si>
  <si>
    <t xml:space="preserve">مدرسة القدس بنين </t>
  </si>
  <si>
    <t>مدرسة القدس بنات</t>
  </si>
  <si>
    <t>مدرسة الوردة بنات</t>
  </si>
  <si>
    <t>متوسطة أم المساكين</t>
  </si>
  <si>
    <t>مدرسة حديقة الحرية المختلطة</t>
  </si>
  <si>
    <t>مدرسة المجاهدين بنين</t>
  </si>
  <si>
    <t xml:space="preserve">ملحقة يوغرطة </t>
  </si>
  <si>
    <t>مدرسة الخنساء</t>
  </si>
  <si>
    <t>4 شارع محمد بوبزاري</t>
  </si>
  <si>
    <t>21 شارع الحرية</t>
  </si>
  <si>
    <t>20 نهج باستور</t>
  </si>
  <si>
    <t xml:space="preserve">2 شارع الادريسي </t>
  </si>
  <si>
    <t>27 شارع علي حريشاد</t>
  </si>
  <si>
    <t>06 شارع موزاوي عبد العزيز</t>
  </si>
  <si>
    <t xml:space="preserve">27 شارع موزاوي عبد العزيز </t>
  </si>
  <si>
    <t xml:space="preserve">14 شارع أبوا حمو </t>
  </si>
  <si>
    <t>13 شارع محمد خناش</t>
  </si>
  <si>
    <t>5 نهج عبد القادر رميني</t>
  </si>
  <si>
    <t>07 شارع فولطة</t>
  </si>
  <si>
    <t>03 شارع يوغرطة</t>
  </si>
  <si>
    <t xml:space="preserve"> 03 شارع ايستوني</t>
  </si>
  <si>
    <t>07 نهج محمد الخامس</t>
  </si>
  <si>
    <t>11 شارع لعربون</t>
  </si>
  <si>
    <t xml:space="preserve">31 شارع كريم بلقاسم </t>
  </si>
  <si>
    <t xml:space="preserve">114 شارع كريم بلقاسم </t>
  </si>
  <si>
    <t>171 شارع محمد بوبزير</t>
  </si>
  <si>
    <t>02 شارع ادريسي باي</t>
  </si>
  <si>
    <t>34 شارع يوغرطة</t>
  </si>
  <si>
    <t xml:space="preserve">12 حسين بلعجل </t>
  </si>
  <si>
    <t>مدرسة الأطلس المختلطة (حمايزي)</t>
  </si>
  <si>
    <t>مدرسة الغزالي المختلطة</t>
  </si>
  <si>
    <t>مدرسة مصطفى دكار</t>
  </si>
  <si>
    <t>مدرسة محمد صحراوي بنات</t>
  </si>
  <si>
    <t xml:space="preserve">مدرسة الشيخ بوعمامة رجال </t>
  </si>
  <si>
    <t>متوسطة عبد المالك بن مروان</t>
  </si>
  <si>
    <t>حي ألند سالفادور</t>
  </si>
  <si>
    <t>شارع الامام الشافعي</t>
  </si>
  <si>
    <t>شارع حلاس سعيد</t>
  </si>
  <si>
    <t>شارع نحناح عبد القادر</t>
  </si>
  <si>
    <t>17 نهج بيكين</t>
  </si>
  <si>
    <t>طريق عبد القادر</t>
  </si>
  <si>
    <t xml:space="preserve">ثانوية سعيد تواتي </t>
  </si>
  <si>
    <t>مدرسة العقيد لطفي المختلطة</t>
  </si>
  <si>
    <t>متوسطة سمية بنات</t>
  </si>
  <si>
    <t>مدرسة الارشاد المختلطة</t>
  </si>
  <si>
    <t>متوسطة عسكري احسن المختلطة</t>
  </si>
  <si>
    <t>مدرسة أمينة بنات</t>
  </si>
  <si>
    <t>متوسطة ماسينيسا بنين</t>
  </si>
  <si>
    <t>متوسطة تزاريت محمد المختلطة</t>
  </si>
  <si>
    <t>مدرسة أم حبيبة بنات</t>
  </si>
  <si>
    <t xml:space="preserve">مدرسة محمد بوضياف </t>
  </si>
  <si>
    <t>مدرسة مالك بن رابية</t>
  </si>
  <si>
    <t>مدرسة كمال ابركان</t>
  </si>
  <si>
    <t>مدرسة الوحدة الافريقية</t>
  </si>
  <si>
    <t>سعيد تواتي</t>
  </si>
  <si>
    <t>10 شارع العقيد لطفي</t>
  </si>
  <si>
    <t>شارع عبد الرحمان حامي</t>
  </si>
  <si>
    <t>14 دربوز لوني أرزقي</t>
  </si>
  <si>
    <t>18 نهج عسكري أحسن</t>
  </si>
  <si>
    <t>13 شارع الاخوة دراوي</t>
  </si>
  <si>
    <t xml:space="preserve">شارع الاخوة عشاش </t>
  </si>
  <si>
    <t>21 شارع محمد تزايرت</t>
  </si>
  <si>
    <t>شارع علي قادري</t>
  </si>
  <si>
    <t>شارع رشيد كواش</t>
  </si>
  <si>
    <t xml:space="preserve">شارع خطاب باي سليمان </t>
  </si>
  <si>
    <t>1 شارع اكلي أقادير</t>
  </si>
  <si>
    <t>4 شارع بومزراق</t>
  </si>
  <si>
    <t xml:space="preserve">مدرسة يوسف أمين المختلطة </t>
  </si>
  <si>
    <t>مدرسة بولعراف أحمد</t>
  </si>
  <si>
    <t>مدرسة الدكتور العقبي المختلطة</t>
  </si>
  <si>
    <t>مدرسة الجالة سابقا الورتيلاني</t>
  </si>
  <si>
    <t>مدرسة الصفح المختلطة</t>
  </si>
  <si>
    <t>مدرسة عبد الكريم الخطابي</t>
  </si>
  <si>
    <t>مدرسة الفجر المختلطة</t>
  </si>
  <si>
    <t>مدرسة الهضاب</t>
  </si>
  <si>
    <t xml:space="preserve">مدرسة الوئام </t>
  </si>
  <si>
    <t>مدرسة الزغارة الجديدة</t>
  </si>
  <si>
    <t>6 شارع يوسف لامين</t>
  </si>
  <si>
    <t>9 شارع بولعراف أحمد</t>
  </si>
  <si>
    <t>32 شارع زيار عبد القادر</t>
  </si>
  <si>
    <t xml:space="preserve">7 شارع لخضر فشكار </t>
  </si>
  <si>
    <t>91 شارع زيار عبدالقادر</t>
  </si>
  <si>
    <t>120 شارع رابح بيساس</t>
  </si>
  <si>
    <t>9 شارع بوعلام بن علي</t>
  </si>
  <si>
    <t xml:space="preserve"> شارع ديار الخلوة</t>
  </si>
  <si>
    <t>أعالي زغارة</t>
  </si>
  <si>
    <t xml:space="preserve">الطاحــونتـــــــــان </t>
  </si>
  <si>
    <t xml:space="preserve">حي الزغارة </t>
  </si>
  <si>
    <t>ساحة محمد ونوري</t>
  </si>
  <si>
    <t>ثانوية الأمير عبد القادر</t>
  </si>
  <si>
    <t xml:space="preserve">5 شارع رابح عروي </t>
  </si>
  <si>
    <t>مدرسة سبتي مواكي</t>
  </si>
  <si>
    <t>2 شارع باب الوادي</t>
  </si>
  <si>
    <t>متوسطة مالك بن نبي</t>
  </si>
  <si>
    <t>مدرسة مالك بن نبي</t>
  </si>
  <si>
    <t>111 شارع دبيح شريف</t>
  </si>
  <si>
    <t>ملحقة ذبيح شريف المختلطة</t>
  </si>
  <si>
    <t>نهج حاحاد عبدالرزاق</t>
  </si>
  <si>
    <t>ملحقة أساسية إبراهيم فاتح</t>
  </si>
  <si>
    <t xml:space="preserve">101 شارع ذبيح شريف </t>
  </si>
  <si>
    <t>مدرسة ذبيح شريف</t>
  </si>
  <si>
    <t>02 شارع الحرية</t>
  </si>
  <si>
    <t>متوسطة محمد بوراس</t>
  </si>
  <si>
    <t>متوسطة عبد الرحمان بن سالم</t>
  </si>
  <si>
    <t xml:space="preserve">مدرسة بشير زويني المختلطة </t>
  </si>
  <si>
    <t>مدرسة عصمان حاجي المختلطة</t>
  </si>
  <si>
    <t>مدرسة الاخوة حاجم</t>
  </si>
  <si>
    <t>مدرسة صادق رابح</t>
  </si>
  <si>
    <t>متوسطة عبدالرحمان قهواجي</t>
  </si>
  <si>
    <t xml:space="preserve">متوسطة اقبال محمد بنين </t>
  </si>
  <si>
    <t>مدرسة صالح ديب المختلطة</t>
  </si>
  <si>
    <t>مدرسة التهذيب المختلطة</t>
  </si>
  <si>
    <t xml:space="preserve">مدرسة مالك حداد </t>
  </si>
  <si>
    <t>مدرسة عبد القادر عجيري</t>
  </si>
  <si>
    <t>مدرسة سعيد هني</t>
  </si>
  <si>
    <t>مدرسة حمدان خوجة</t>
  </si>
  <si>
    <t>متوسطة أحمد باي</t>
  </si>
  <si>
    <t xml:space="preserve">حي ديار الكاف </t>
  </si>
  <si>
    <t>5 شارع دي جرة</t>
  </si>
  <si>
    <t>حي القطار</t>
  </si>
  <si>
    <t>3 شارع طارق بن زياد</t>
  </si>
  <si>
    <t>6 شارع طارق بن زياد</t>
  </si>
  <si>
    <t>حي جنان حسان</t>
  </si>
  <si>
    <t>نهج طالب محمد طقارة</t>
  </si>
  <si>
    <t xml:space="preserve">شارع الاخوة بوشوشي </t>
  </si>
  <si>
    <t xml:space="preserve">10 شارع الاخوة بوشوشي </t>
  </si>
  <si>
    <t xml:space="preserve">107 طريق مونبليزون </t>
  </si>
  <si>
    <t>نهج بوعلام بن قانة</t>
  </si>
  <si>
    <t>شارع سعيد هاني</t>
  </si>
  <si>
    <t>شارع إبراهيم رايس بوفريزي</t>
  </si>
  <si>
    <t>حي بوشراي وادي قريش</t>
  </si>
  <si>
    <t xml:space="preserve">مدرسة بابا عروج بنين </t>
  </si>
  <si>
    <t xml:space="preserve">مدرسة رايس حميدو بنات </t>
  </si>
  <si>
    <t>مدرسة سيدي الكبير المختلطة</t>
  </si>
  <si>
    <t>مدرسة ابن رشيق بنات</t>
  </si>
  <si>
    <t>مدرسة ابن رشيق بنين</t>
  </si>
  <si>
    <t>مدرسة لافيجي</t>
  </si>
  <si>
    <t>مدرسة سيدي الكبير الجديدة</t>
  </si>
  <si>
    <t>نهج فيلالبة</t>
  </si>
  <si>
    <t>نهج خير الدين</t>
  </si>
  <si>
    <t>سيدي الكبير</t>
  </si>
  <si>
    <t xml:space="preserve">نهج حميد قبلاج </t>
  </si>
  <si>
    <t>حي لافيجي</t>
  </si>
  <si>
    <t>متوسطة طرابلس</t>
  </si>
  <si>
    <t>مدرسة بوليمة المختلطة</t>
  </si>
  <si>
    <t>مدرسة الاخوة مختاري</t>
  </si>
  <si>
    <t>مدرسة محمود منتوري المختلطة</t>
  </si>
  <si>
    <t>مدرسة عميروش بنين</t>
  </si>
  <si>
    <t>مدرسة عميروش بنات</t>
  </si>
  <si>
    <t>مدرسة الاقبال بنين</t>
  </si>
  <si>
    <t>مدرسة أسماء بنات</t>
  </si>
  <si>
    <t>مدرسة جبل ديرة المختلطة</t>
  </si>
  <si>
    <t>مدرسة محمد عبدو ذكور</t>
  </si>
  <si>
    <t>مدرسة محمد عبدو  اناث</t>
  </si>
  <si>
    <t xml:space="preserve">شارع مولود بلهوشات </t>
  </si>
  <si>
    <t xml:space="preserve">مدرسة محمد مربوش </t>
  </si>
  <si>
    <t>شارع عمر بن سمرة</t>
  </si>
  <si>
    <t>حي عميروش</t>
  </si>
  <si>
    <t xml:space="preserve">شارع ابن بوصالحة </t>
  </si>
  <si>
    <t>شارع بن زادي محمد</t>
  </si>
  <si>
    <t>حي بروسات</t>
  </si>
  <si>
    <t>طريق فرنان حنفي</t>
  </si>
  <si>
    <t>مدرسة بودوة طاهر بنين</t>
  </si>
  <si>
    <t>مدرسة بودوة طاهر بنات</t>
  </si>
  <si>
    <t>مدرسة مخلوف زناتي بنين</t>
  </si>
  <si>
    <t>مدرسة مخلوف زناتي بنات</t>
  </si>
  <si>
    <t>مدرسة عبدالرحمان أحمين بنات</t>
  </si>
  <si>
    <t>مدرسة عبدالرحمان أحمين بنين</t>
  </si>
  <si>
    <t>مدرسة محمد دوار بنين</t>
  </si>
  <si>
    <t>مدرسة محمد دوار بنات</t>
  </si>
  <si>
    <t>مدرسة عبدالعزيز بومزراق بنين</t>
  </si>
  <si>
    <t>مدرسة عبدالعزيز بومزراق بنات</t>
  </si>
  <si>
    <t>مدرسة تاكفاريناس بنين</t>
  </si>
  <si>
    <t>مدرسة تاكفاريناس بنات</t>
  </si>
  <si>
    <t>مدرسة العمود الذهبي بنين</t>
  </si>
  <si>
    <t>مدرسة العمود الذهبي بنات</t>
  </si>
  <si>
    <t>مدرسة عيشة العمرية بنات</t>
  </si>
  <si>
    <t>شارع بودوة طاهر</t>
  </si>
  <si>
    <t>شارع عبد القادر قراوسن</t>
  </si>
  <si>
    <t>شارع حسين نور الدين</t>
  </si>
  <si>
    <t>شارع محمد دوار</t>
  </si>
  <si>
    <t>شارع الرياضة</t>
  </si>
  <si>
    <t>شارع جديد علي</t>
  </si>
  <si>
    <t>شارع بوعلام غزال</t>
  </si>
  <si>
    <t>شارع أحمد عدمي</t>
  </si>
  <si>
    <t>مدرسة محمد جعفر بنين</t>
  </si>
  <si>
    <t>مدرسة مالك خرشي بنات</t>
  </si>
  <si>
    <t>مدرسة دويبي مدني المختلطة</t>
  </si>
  <si>
    <t>مدرسة محمد بلعرج المختلطة</t>
  </si>
  <si>
    <t>مدرسة أورحمون محمد بنين</t>
  </si>
  <si>
    <t>مدرسة سعيدون محمد بنات</t>
  </si>
  <si>
    <t>مدرسة صالح فاضلي المختلطة</t>
  </si>
  <si>
    <t>مدرسة بن عزوز عبد الحميد المختلطة</t>
  </si>
  <si>
    <t>مدرسة بن عمر الجديدة المختلطة</t>
  </si>
  <si>
    <t>مدرسة حواسين عبد الله المختلطة</t>
  </si>
  <si>
    <t>مدرسة بن دانون المختلطة</t>
  </si>
  <si>
    <t>مدرسة رويزي أحمد المختلطة</t>
  </si>
  <si>
    <t>مدرسة العناصر الشمالية</t>
  </si>
  <si>
    <t>مدرسة العناصر 2 المختلطة</t>
  </si>
  <si>
    <t>مدرسة قريدي المختلطة</t>
  </si>
  <si>
    <t>مدرسة قريدي المختلطة 2</t>
  </si>
  <si>
    <t xml:space="preserve">مركز الشهيد عظامو </t>
  </si>
  <si>
    <t>مدرسة أحمد ترخوش</t>
  </si>
  <si>
    <t>مدرسة رباعي</t>
  </si>
  <si>
    <t>نهج عبد السلام القبة مركز</t>
  </si>
  <si>
    <t>نهج الاخوة عبد السلام</t>
  </si>
  <si>
    <t>شارع عبد القادر علوة</t>
  </si>
  <si>
    <t>حي المنظر الجميل</t>
  </si>
  <si>
    <t>القبة القديمة</t>
  </si>
  <si>
    <t>تجزئة أبروفال</t>
  </si>
  <si>
    <t>تجزئة بن عمر</t>
  </si>
  <si>
    <t>قطعة بن عمر</t>
  </si>
  <si>
    <t>شارع محمد بوجعطيط</t>
  </si>
  <si>
    <t>تجزئة بن دانون</t>
  </si>
  <si>
    <t>حي العناصر</t>
  </si>
  <si>
    <t>حي 800 مسكن العناصر</t>
  </si>
  <si>
    <t>حي محمد قاريدي</t>
  </si>
  <si>
    <t>حي بن عمر</t>
  </si>
  <si>
    <t>حي أحمد ترخوش</t>
  </si>
  <si>
    <t>حي 648 مسكن</t>
  </si>
  <si>
    <t>مدرسة الفلاح المختلطة</t>
  </si>
  <si>
    <t>مدرسة علي مدوش بنين</t>
  </si>
  <si>
    <t>مدرسة علي مدوش بنات</t>
  </si>
  <si>
    <t>مدرسة محمد بسايح</t>
  </si>
  <si>
    <t>ملحقة الفلاح</t>
  </si>
  <si>
    <t>مدرسة أحمد بوخبزة</t>
  </si>
  <si>
    <t>شارع حسن البصري</t>
  </si>
  <si>
    <t>شارع سعد فلاح</t>
  </si>
  <si>
    <t>شارع محمد بوسبيعات</t>
  </si>
  <si>
    <t>شارع أحمد زاهي</t>
  </si>
  <si>
    <t>مدرسة عيسات ايدير</t>
  </si>
  <si>
    <t>مدرسة المقرانية</t>
  </si>
  <si>
    <t>مدرسة الأمير عبد القادر</t>
  </si>
  <si>
    <t>مدرسة حسان بادي</t>
  </si>
  <si>
    <t>مدرسة محمد هجرس</t>
  </si>
  <si>
    <t>مدرسة المنظر الجميل</t>
  </si>
  <si>
    <t>مدرسة رابية بوشامة</t>
  </si>
  <si>
    <t>مدرسة سيدي مبارك</t>
  </si>
  <si>
    <t xml:space="preserve">مدرسة زغنون </t>
  </si>
  <si>
    <t>مدرسة عبد الحميد طاطا</t>
  </si>
  <si>
    <t>مدرسة الدهاليز محمد بن دادو 3</t>
  </si>
  <si>
    <t>مدرسة حي كوريفة الجديدة</t>
  </si>
  <si>
    <t>المدرسة الجديدة سيدي مبارك 2</t>
  </si>
  <si>
    <t>متوسطة كوريفة الجديدة 2</t>
  </si>
  <si>
    <t>شارع تبوني بلقاسم</t>
  </si>
  <si>
    <t>حي المقرانية</t>
  </si>
  <si>
    <t>شارع الانتفاضة</t>
  </si>
  <si>
    <t>شارع طاهر طواف</t>
  </si>
  <si>
    <t>شارع عاشور سكارنة</t>
  </si>
  <si>
    <t>شارع عبد القادر شناني</t>
  </si>
  <si>
    <t>شارع حميد فحاس</t>
  </si>
  <si>
    <t>حي سيدي مبارك</t>
  </si>
  <si>
    <t>شارع مليكة قادي</t>
  </si>
  <si>
    <t>شارع عبد الحميد طاطا</t>
  </si>
  <si>
    <t>حي الدهاليز 3</t>
  </si>
  <si>
    <t>حي كوريفة</t>
  </si>
  <si>
    <t>حي سيدي أمبارك الحراش</t>
  </si>
  <si>
    <t>مدرسة بوزيد رشيد بنين</t>
  </si>
  <si>
    <t>مدرسة الاخوة خافي</t>
  </si>
  <si>
    <t>مدرسة موساوي علي</t>
  </si>
  <si>
    <t>مدرسة قرين بلقاسم</t>
  </si>
  <si>
    <t>مدرسة 532 مسكن</t>
  </si>
  <si>
    <t>مدرسة ساليبة</t>
  </si>
  <si>
    <t>حي 11 ديسمبر 1960</t>
  </si>
  <si>
    <t>3 شارع المكان الجميل</t>
  </si>
  <si>
    <t>1 نهج المركزية</t>
  </si>
  <si>
    <t>6 شارع المكان الجميل</t>
  </si>
  <si>
    <t>حي وادي السمار</t>
  </si>
  <si>
    <t>حي 532 مسكن العالية</t>
  </si>
  <si>
    <t>حي ساليبا المنطقة الصناعية</t>
  </si>
  <si>
    <t xml:space="preserve">مدرسة البشير الابراهيمي بنين </t>
  </si>
  <si>
    <t>متوسطة بومزار</t>
  </si>
  <si>
    <t>مدرسة النجاح بنين</t>
  </si>
  <si>
    <t>مدرسة النجاح  بنات</t>
  </si>
  <si>
    <t>مدرسة مولود فرعون بنين</t>
  </si>
  <si>
    <t>مدرسة مولود فرعون بنات</t>
  </si>
  <si>
    <t>مدرسة حملات سعيد بنين</t>
  </si>
  <si>
    <t>مدرسة  حملات سعيد بنات</t>
  </si>
  <si>
    <t>مدرسة الحياة بنين</t>
  </si>
  <si>
    <t>مدرسة  الحياة بنات</t>
  </si>
  <si>
    <t>مدرسة رشيد مادوني بنين</t>
  </si>
  <si>
    <t>مدرسة رشيد مادوني بنات</t>
  </si>
  <si>
    <t>مدرسة قويزي بنين</t>
  </si>
  <si>
    <t>مدرسة قويزي بنات</t>
  </si>
  <si>
    <t>مدرسة  طارق بن زياد بنين</t>
  </si>
  <si>
    <t>مدرسة طارق بن زياد بنات</t>
  </si>
  <si>
    <t>متوسطة أبي ذر الغفاري</t>
  </si>
  <si>
    <t>حي PLM</t>
  </si>
  <si>
    <t>شارع محفوظ سعد الله PLM</t>
  </si>
  <si>
    <t>حي ديسولي</t>
  </si>
  <si>
    <t>حي المجاهد</t>
  </si>
  <si>
    <t>حي باش جراح 2</t>
  </si>
  <si>
    <t>حي باش جراح 3</t>
  </si>
  <si>
    <t>حي الكاليتوس</t>
  </si>
  <si>
    <t>حي الجبل</t>
  </si>
  <si>
    <t>مدرسة معمر خرور</t>
  </si>
  <si>
    <t>مدرسة لخضر صحراوي</t>
  </si>
  <si>
    <t>مدرسة 5 جويلية 62</t>
  </si>
  <si>
    <t>مدرسة سي الحواس</t>
  </si>
  <si>
    <t>مدرسة حلات اكلي بنين</t>
  </si>
  <si>
    <t>مدرسة ثريا</t>
  </si>
  <si>
    <t>مدرسة شريف زوابي المختلطة</t>
  </si>
  <si>
    <t>مدرسة محمد قادوري بنين</t>
  </si>
  <si>
    <t>مدرسة مصطفى بن بولعيد</t>
  </si>
  <si>
    <t>مدرسة شيخ نعيمي بنين</t>
  </si>
  <si>
    <t>مدرسة محمد لعدور</t>
  </si>
  <si>
    <t>مدرسة 17 أكتوبر 61 بنين</t>
  </si>
  <si>
    <t>مدرسة موسى فرحي</t>
  </si>
  <si>
    <t>مدرسة تنس 1 جبايلي</t>
  </si>
  <si>
    <t>مدرسة جرجرة</t>
  </si>
  <si>
    <t>مدرسة محمد سعداوي</t>
  </si>
  <si>
    <t>واد أوشايح</t>
  </si>
  <si>
    <t>باش جراح 2</t>
  </si>
  <si>
    <t>باش جراح 1</t>
  </si>
  <si>
    <t>حي البدر</t>
  </si>
  <si>
    <t>حي ثريا</t>
  </si>
  <si>
    <t>حي لعدور (لاقلاسيار)</t>
  </si>
  <si>
    <t>حي النخيل</t>
  </si>
  <si>
    <t>حي ديار الجمعة</t>
  </si>
  <si>
    <t>جنان مبروك</t>
  </si>
  <si>
    <t>حي 488 مسكن</t>
  </si>
  <si>
    <t>حي لاقلاسيار</t>
  </si>
  <si>
    <t>متوسطة الكواكبي</t>
  </si>
  <si>
    <t>مديرية المقام الجميل</t>
  </si>
  <si>
    <t>مدرسة الوئام بنات</t>
  </si>
  <si>
    <t>مدرسة الوئام بنين</t>
  </si>
  <si>
    <t>مدرسة بارمونيتي</t>
  </si>
  <si>
    <t>مدرسة سيدي يحيى المختلطة</t>
  </si>
  <si>
    <t>مدرسة الينابيع محمد بقاي</t>
  </si>
  <si>
    <t>مدرسة تيكسران المختلطة</t>
  </si>
  <si>
    <t>مدرسة البساتين المختلطة</t>
  </si>
  <si>
    <t>حي الوئام</t>
  </si>
  <si>
    <t>شارع خوجات الجلد</t>
  </si>
  <si>
    <t>8 شارع الاخوة بن علي</t>
  </si>
  <si>
    <t>حي سيدي يحيى</t>
  </si>
  <si>
    <t>48 شارع مارسلو فابري الينابيع</t>
  </si>
  <si>
    <t>حي تقصراين</t>
  </si>
  <si>
    <t>6 شارع البساتين</t>
  </si>
  <si>
    <t>مدرسة ميهوبي محمد</t>
  </si>
  <si>
    <t>مدرسة مرباح</t>
  </si>
  <si>
    <t>جنان سفاري</t>
  </si>
  <si>
    <t>مدرسة كروش سليمان</t>
  </si>
  <si>
    <t>مدرسة ساكر حمود</t>
  </si>
  <si>
    <t>مدرسة الفتح</t>
  </si>
  <si>
    <t>مدرسة شريف سعيد بنين</t>
  </si>
  <si>
    <t>مدرسة شريف سعيد بنات</t>
  </si>
  <si>
    <t xml:space="preserve">مدرسة المركزية بنات </t>
  </si>
  <si>
    <t>مدرسة أفتوش</t>
  </si>
  <si>
    <t>مدرسة جنان الكرمة</t>
  </si>
  <si>
    <t>مدرسة جنان مزيان</t>
  </si>
  <si>
    <t>مدرسة مقنوش</t>
  </si>
  <si>
    <t>شجر البرتقال رجال</t>
  </si>
  <si>
    <t>مركز الطاهر بوشات</t>
  </si>
  <si>
    <t>مدرسة زونكة</t>
  </si>
  <si>
    <t>شجر البرتقال نساء</t>
  </si>
  <si>
    <t>حي مقنوش</t>
  </si>
  <si>
    <t>شارع بوسواليم محمد</t>
  </si>
  <si>
    <t>حي جنان سفاري</t>
  </si>
  <si>
    <t>حي البساتين</t>
  </si>
  <si>
    <t>طريق السحاولة</t>
  </si>
  <si>
    <t>شارع الاخوة جيلالي</t>
  </si>
  <si>
    <t>شارع الزونكة</t>
  </si>
  <si>
    <t>شارع عوباد أحسن</t>
  </si>
  <si>
    <t>شارع خايفي حميد</t>
  </si>
  <si>
    <t>حي طارق بن زياد</t>
  </si>
  <si>
    <t>حي ابن خلدون</t>
  </si>
  <si>
    <t>قايد البـــــاب</t>
  </si>
  <si>
    <t>حي الطاهر ربوشات تقصراين</t>
  </si>
  <si>
    <t>زونكة طريق الحراش</t>
  </si>
  <si>
    <t>مدرسة حي 468 مسكن المختلطة</t>
  </si>
  <si>
    <t>مدرسة عمار بوجرادة</t>
  </si>
  <si>
    <t>مدرسة مزرعة كازناف المختلطة</t>
  </si>
  <si>
    <t>مدرسة عزيزي أحمد المختلطة</t>
  </si>
  <si>
    <t>مدرسة حي الحياة المختلطة</t>
  </si>
  <si>
    <t>مدرسة مقنوش مصطفى</t>
  </si>
  <si>
    <t>مدرسة بن ديغر حي عين النعجة</t>
  </si>
  <si>
    <t>مدرسة 274 مسكن</t>
  </si>
  <si>
    <t>مدرسة حي 720 مسكن</t>
  </si>
  <si>
    <t>المدرسة المختلطة حي عين النعجة</t>
  </si>
  <si>
    <t>مدرسة عين المالحة الجديدة عدل</t>
  </si>
  <si>
    <t>مركز علال المشري</t>
  </si>
  <si>
    <t>مركز عائشة عماري</t>
  </si>
  <si>
    <t>مدرسة عين المالحة الجديدة</t>
  </si>
  <si>
    <t>حي 17 أكتوبر</t>
  </si>
  <si>
    <t>حي عمار بوجرادة</t>
  </si>
  <si>
    <t>محطة كازناف</t>
  </si>
  <si>
    <t>حي الحياة</t>
  </si>
  <si>
    <t>مقطع مغنوش</t>
  </si>
  <si>
    <t>تجزئة عين النعجة القديمة</t>
  </si>
  <si>
    <t>حي 274 مسكن</t>
  </si>
  <si>
    <t>720 مسكن عين النعجة</t>
  </si>
  <si>
    <t>حي 2540 مسكن عين النعجة</t>
  </si>
  <si>
    <t>عين المالحة الجديدة</t>
  </si>
  <si>
    <t>حي علال المشري</t>
  </si>
  <si>
    <t>حي 254 مسكن عين النعجة</t>
  </si>
  <si>
    <t>حي عين المالحة الجديدة</t>
  </si>
  <si>
    <t>حي مفدي زكريا</t>
  </si>
  <si>
    <t>مدرسة الاخوة أورابح</t>
  </si>
  <si>
    <t>مدرسة محمد عليق</t>
  </si>
  <si>
    <t xml:space="preserve">مدرسة علي خرباني </t>
  </si>
  <si>
    <t xml:space="preserve">مدرسة لالا خديجة </t>
  </si>
  <si>
    <t>مدرسة الاخوة عباد</t>
  </si>
  <si>
    <t>مركز ابن تاشفين</t>
  </si>
  <si>
    <t>حي سيليي</t>
  </si>
  <si>
    <t>حي قارة أحمد</t>
  </si>
  <si>
    <t>8 شارع يحيى بلحياة</t>
  </si>
  <si>
    <t>7 شارع سيزاري الواحات</t>
  </si>
  <si>
    <t xml:space="preserve">شارع سعيد حمدين </t>
  </si>
  <si>
    <t>مدرسة محمد خميستي</t>
  </si>
  <si>
    <t>مدرسة بلحاج</t>
  </si>
  <si>
    <t>مدرسة بابا علي</t>
  </si>
  <si>
    <t>متوسطة أول نوفمبر 54</t>
  </si>
  <si>
    <t>مدرسة مريجة</t>
  </si>
  <si>
    <t>مدرسة بلعزوقي إبراهيم</t>
  </si>
  <si>
    <t>مدرسة بن مرجة محمود</t>
  </si>
  <si>
    <t>حي محمد خميستي</t>
  </si>
  <si>
    <t xml:space="preserve">حي أولاد بلحاج </t>
  </si>
  <si>
    <t>بابا علي مركز</t>
  </si>
  <si>
    <t>طريق دويرة سحاولة</t>
  </si>
  <si>
    <t>حي المريجة</t>
  </si>
  <si>
    <t>حي بابا علي</t>
  </si>
  <si>
    <t>حي بن مرجة محمود</t>
  </si>
  <si>
    <t>مدرسة عمرون أحمد</t>
  </si>
  <si>
    <t>مدرسة الأمل</t>
  </si>
  <si>
    <t>مدرسة محمد بعزيز</t>
  </si>
  <si>
    <t>مدرسة فاطمة الزهراء طالابولما</t>
  </si>
  <si>
    <t>مدرسة وارق عثمان</t>
  </si>
  <si>
    <t>مدرسة مولود عبد الرحمان</t>
  </si>
  <si>
    <t>مدرسة عمار بوشاقور</t>
  </si>
  <si>
    <t>مدرسة الحواس</t>
  </si>
  <si>
    <t>مدرسة عسوس دحمان</t>
  </si>
  <si>
    <t xml:space="preserve">مدرسة هرماز جميلة </t>
  </si>
  <si>
    <t>مدرسة فوجرو  حيان بنين</t>
  </si>
  <si>
    <t>مدرسة  فوجرو  حيان حليمة سعدية بنات</t>
  </si>
  <si>
    <t xml:space="preserve">مدرسة ابن طالون بنين </t>
  </si>
  <si>
    <t xml:space="preserve">مدرسة ابن بطوطة </t>
  </si>
  <si>
    <t>مدرسة الياسمين</t>
  </si>
  <si>
    <t xml:space="preserve">مدرسة عمار لاغة </t>
  </si>
  <si>
    <t xml:space="preserve">مدرسة عبد الحميد بن هدوقة </t>
  </si>
  <si>
    <t>مركز عمر تدريست</t>
  </si>
  <si>
    <t>دازنيار بوزريعة مركز</t>
  </si>
  <si>
    <t>قرية سيلاست</t>
  </si>
  <si>
    <t xml:space="preserve">العمودان بوزريعة </t>
  </si>
  <si>
    <t>حي العرش بوزريعة</t>
  </si>
  <si>
    <t>بئرزواف بوزريعة</t>
  </si>
  <si>
    <t>المقام الجميل</t>
  </si>
  <si>
    <t>حي فانسو</t>
  </si>
  <si>
    <t>حي الحواس</t>
  </si>
  <si>
    <t>علي رملي</t>
  </si>
  <si>
    <t xml:space="preserve">مخيم تابت شوفالي </t>
  </si>
  <si>
    <t>حي فوجرو بوزريعة</t>
  </si>
  <si>
    <t>الحمادية بوزريعة</t>
  </si>
  <si>
    <t>طريق فري فالون</t>
  </si>
  <si>
    <t>شارع علي رملي الحمادية</t>
  </si>
  <si>
    <t>حي باشولي الحمادية</t>
  </si>
  <si>
    <t>حي لافونتون</t>
  </si>
  <si>
    <t>مدرسة علي حموتان</t>
  </si>
  <si>
    <t>مدرسة مولا حنين</t>
  </si>
  <si>
    <t>مدرسة لعرج بوتريف</t>
  </si>
  <si>
    <t>مدرسة بشير الابراهيمي</t>
  </si>
  <si>
    <t>مدرسة ساحل</t>
  </si>
  <si>
    <t>مدرسة المامون</t>
  </si>
  <si>
    <t>مدرسة ميمونة</t>
  </si>
  <si>
    <t>مدرسة الغافرية 1</t>
  </si>
  <si>
    <t xml:space="preserve">مدرسة الغافرية 2 </t>
  </si>
  <si>
    <t xml:space="preserve">مدرسة الغزوات </t>
  </si>
  <si>
    <t>مدرسة بئر طرارية 1</t>
  </si>
  <si>
    <t xml:space="preserve">مدرسة بئر طرارية 2 </t>
  </si>
  <si>
    <t>مدرسة سيدي يعقوب 1</t>
  </si>
  <si>
    <t xml:space="preserve">مدرسة سيدي يعقوب2 </t>
  </si>
  <si>
    <t xml:space="preserve">مدرسة رابح حنطلة </t>
  </si>
  <si>
    <t>مدرسة الاخوة الهاشمي</t>
  </si>
  <si>
    <t>مدرسة خير الدين</t>
  </si>
  <si>
    <t>مدرسة محمد اقبال</t>
  </si>
  <si>
    <t>20مدرسة  أوت 1955</t>
  </si>
  <si>
    <t>شارع محمد شنيت</t>
  </si>
  <si>
    <t>ساحة كنيدي</t>
  </si>
  <si>
    <t>شارع دكار رحمون</t>
  </si>
  <si>
    <t>طريق البسير الابراهيمي</t>
  </si>
  <si>
    <t>طريق ناجي عباس تركي</t>
  </si>
  <si>
    <t>طريق مصطفى خالف</t>
  </si>
  <si>
    <t>شارع الاخوة حسين</t>
  </si>
  <si>
    <t>طريق الحديقة</t>
  </si>
  <si>
    <t>طريق اسفنجة</t>
  </si>
  <si>
    <t>شارع الاخوة بوشوشي</t>
  </si>
  <si>
    <t>شارع الاخوة جرود</t>
  </si>
  <si>
    <t>لويس روجي</t>
  </si>
  <si>
    <t>شارع الجبل الدهبي</t>
  </si>
  <si>
    <t xml:space="preserve">جان جوارس </t>
  </si>
  <si>
    <t>نهج طالب عبد الرحمان</t>
  </si>
  <si>
    <t>طريق لافونتان</t>
  </si>
  <si>
    <t xml:space="preserve">مدرسة حي مالكي بنين </t>
  </si>
  <si>
    <t>مدرسة حي مالكي بنات</t>
  </si>
  <si>
    <t>مدرسة السعدي المختلطة</t>
  </si>
  <si>
    <t>مدرسة مصطفى خوجة</t>
  </si>
  <si>
    <t>مدرسة ولد عودية صالح</t>
  </si>
  <si>
    <t>مدرسة حي المجاهدين (علي بوناب)</t>
  </si>
  <si>
    <t>شفيقة مازي</t>
  </si>
  <si>
    <t>مركز السعدي  2</t>
  </si>
  <si>
    <t>حي مالكي</t>
  </si>
  <si>
    <t>بن عكنون مركز</t>
  </si>
  <si>
    <t>شارع مصطفى خوجة</t>
  </si>
  <si>
    <t>حي رملي</t>
  </si>
  <si>
    <t>حي المجاهدين</t>
  </si>
  <si>
    <t>حي سونلغاز</t>
  </si>
  <si>
    <t>شارع ادير تومي</t>
  </si>
  <si>
    <t xml:space="preserve">مدرسة عباس لغرور </t>
  </si>
  <si>
    <t>مدرسة 1 نوفمبر</t>
  </si>
  <si>
    <t>مدرسة سيدي يوسف</t>
  </si>
  <si>
    <t xml:space="preserve">مركز غرناظة </t>
  </si>
  <si>
    <t>مدرسة السد</t>
  </si>
  <si>
    <t>مدرسة الجديدة سيدي يوسف</t>
  </si>
  <si>
    <t>مدرسة الجوهرة الثمينة</t>
  </si>
  <si>
    <t>ذراع بني مسوس</t>
  </si>
  <si>
    <t>بني مسوس مركز</t>
  </si>
  <si>
    <t>حي سيدي يوسف</t>
  </si>
  <si>
    <t>طريق بوقزولة بني مسوس</t>
  </si>
  <si>
    <t>حي سيدي السعدي</t>
  </si>
  <si>
    <t xml:space="preserve">حي سيدي يوسف </t>
  </si>
  <si>
    <t xml:space="preserve">مدرسة عيسات ايدير </t>
  </si>
  <si>
    <t>مدرسة عبان رمضان المختلطة</t>
  </si>
  <si>
    <t xml:space="preserve">مدرسة الحميز رجال </t>
  </si>
  <si>
    <t>مدرسة المدينة الجديدة المختلطة</t>
  </si>
  <si>
    <t>مدرسة الدار البيضاء بنين</t>
  </si>
  <si>
    <t xml:space="preserve">مركز سليمان عميرات </t>
  </si>
  <si>
    <t>مدرسة الدار البيضاء بنات</t>
  </si>
  <si>
    <t>مركز فريدة سحنون</t>
  </si>
  <si>
    <t>مركز الحميز نساء</t>
  </si>
  <si>
    <t>مدرسة كريم بلقاسم الجديدة</t>
  </si>
  <si>
    <t>مدرسة الورود</t>
  </si>
  <si>
    <t>متوسطة الصديقي الزهاوي</t>
  </si>
  <si>
    <t>الدار البيضاء مركز مدينة</t>
  </si>
  <si>
    <t>حي صالح ديب</t>
  </si>
  <si>
    <t>حي عبان رمضان</t>
  </si>
  <si>
    <t>الطريق الوطني رقم 5</t>
  </si>
  <si>
    <t xml:space="preserve">حي المدينة الجديدة </t>
  </si>
  <si>
    <t xml:space="preserve">الدار البيضاء مركز </t>
  </si>
  <si>
    <t>حي الاخوة عاشور</t>
  </si>
  <si>
    <t xml:space="preserve"> الدار البيضاء مركز </t>
  </si>
  <si>
    <t>الطريق الوطني رقم 5 الحميز شمال</t>
  </si>
  <si>
    <t>الطريق الوطني رقم  5 الحميز جنوب</t>
  </si>
  <si>
    <t xml:space="preserve">حي كريم بلقاسم الجديدة </t>
  </si>
  <si>
    <t>حي الورود</t>
  </si>
  <si>
    <t>شارع مولود فرعون</t>
  </si>
  <si>
    <t>مدرسة 5جويلية 3</t>
  </si>
  <si>
    <t>مدرسة 5جويلية 2</t>
  </si>
  <si>
    <t>مدرسة 8 ماي 45</t>
  </si>
  <si>
    <t>مدرسة8 ماي 45 رقم 4</t>
  </si>
  <si>
    <t>مدرسةحي الجرف 3</t>
  </si>
  <si>
    <t xml:space="preserve"> مدرسةالصومام</t>
  </si>
  <si>
    <t>مدرسة8 ماي 45 رقم 6</t>
  </si>
  <si>
    <t>مدرسة الحسين الورتيلاني</t>
  </si>
  <si>
    <t>مدرسة 2068 مسكن بنين</t>
  </si>
  <si>
    <t>مدرسة 2068 مسكن بنات</t>
  </si>
  <si>
    <t xml:space="preserve">مدرسة الجرم رقم 4 </t>
  </si>
  <si>
    <t>مركز بن سماية رجال</t>
  </si>
  <si>
    <t>مركز بن سماية نساء</t>
  </si>
  <si>
    <t>حي 5 جويلية</t>
  </si>
  <si>
    <t>حي 8 ماي 45</t>
  </si>
  <si>
    <t>حي الجرف</t>
  </si>
  <si>
    <t>حي الصومام</t>
  </si>
  <si>
    <t>حي رابية الطاهر</t>
  </si>
  <si>
    <t>حي 2068 مسكن</t>
  </si>
  <si>
    <t>مدرسة الجنينة المحتلطة</t>
  </si>
  <si>
    <t>مدرسة باحا المختلطة</t>
  </si>
  <si>
    <t>مدرسة البحر الأبيض المتوسط</t>
  </si>
  <si>
    <t>مدرسة أم المساكين</t>
  </si>
  <si>
    <t>مدرسة 12 قسم حي 632 مسكن</t>
  </si>
  <si>
    <t>مدرسة محمد أبزار المختلطة</t>
  </si>
  <si>
    <t xml:space="preserve">مدرسة محمد أبزار 2 </t>
  </si>
  <si>
    <t>مدرسة الجمارك</t>
  </si>
  <si>
    <t>مدرسة زرهوني مختار</t>
  </si>
  <si>
    <t>مركز كرات نور الدين المختلطة</t>
  </si>
  <si>
    <t>مدرسة عيادي أحمــــــــــد</t>
  </si>
  <si>
    <t>الجنينة سابقا طماريس</t>
  </si>
  <si>
    <t>باحة سابقا ليدو</t>
  </si>
  <si>
    <t>حي المحمدية</t>
  </si>
  <si>
    <t>حي 632 مسكن المحمدية</t>
  </si>
  <si>
    <t>الصنوبر البحري</t>
  </si>
  <si>
    <t>حي الجمارك</t>
  </si>
  <si>
    <t>حي زرهوني مختار</t>
  </si>
  <si>
    <t>حي الكثبان</t>
  </si>
  <si>
    <t>مدرسة بن باديس بنين</t>
  </si>
  <si>
    <t>مدرسة بن باديس بنات</t>
  </si>
  <si>
    <t>مدرسة سعيدي بنين</t>
  </si>
  <si>
    <t>مدرسة سعيدي بنات</t>
  </si>
  <si>
    <t>مدرسة الضفة الخضراء</t>
  </si>
  <si>
    <t>مدرسة موحوس المختلطة</t>
  </si>
  <si>
    <t>مدرسة فايزي بنات</t>
  </si>
  <si>
    <t>مدرسة فايزي بنين</t>
  </si>
  <si>
    <t>مدرسة بن زرقة المختلطة</t>
  </si>
  <si>
    <t>مدرسة الاخوة كرمي</t>
  </si>
  <si>
    <t>مدرسة بقالم عبد القادر</t>
  </si>
  <si>
    <t>مدرسة 11 ديسمبر 1960</t>
  </si>
  <si>
    <t>مدرسة حساني محمد</t>
  </si>
  <si>
    <t>مركز الضفة الخضراء</t>
  </si>
  <si>
    <t>مركز سي إسماعيل</t>
  </si>
  <si>
    <t>برج الكيفان مركز</t>
  </si>
  <si>
    <t>الضفة الخضراء</t>
  </si>
  <si>
    <t>حي الضفة الخضراء</t>
  </si>
  <si>
    <t>حي فايزي</t>
  </si>
  <si>
    <t>حي بن زرقة دوم</t>
  </si>
  <si>
    <t>حي سطمبول برج البحري</t>
  </si>
  <si>
    <t>دوار بن زرقة</t>
  </si>
  <si>
    <t>حي الديبلوماسي</t>
  </si>
  <si>
    <t>حي حساني محمد</t>
  </si>
  <si>
    <t>حي سي سماعيل</t>
  </si>
  <si>
    <t>مدرسة البنات مركز</t>
  </si>
  <si>
    <t>مدرسة عين الشرب</t>
  </si>
  <si>
    <t xml:space="preserve">مدرسة حي سي الحواس </t>
  </si>
  <si>
    <t>متوسطة النصر</t>
  </si>
  <si>
    <t>مدرسة بن مهيدي</t>
  </si>
  <si>
    <t>مدرسة حي الرمل</t>
  </si>
  <si>
    <t xml:space="preserve">مدرسة ديار الغرب </t>
  </si>
  <si>
    <t>مدرسة أوريدة مداد</t>
  </si>
  <si>
    <t>مدرسة أ,ش,ل,م</t>
  </si>
  <si>
    <t>مركز حسيبة بن بوعلي</t>
  </si>
  <si>
    <t>مركز علي حمدان</t>
  </si>
  <si>
    <t>شارع خميستي</t>
  </si>
  <si>
    <t>حي عين الشرب</t>
  </si>
  <si>
    <t>حي سي الحواس</t>
  </si>
  <si>
    <t>حي النصر</t>
  </si>
  <si>
    <t>حي بن مهيدي</t>
  </si>
  <si>
    <t>حي الرمل</t>
  </si>
  <si>
    <t>ديار الغرب</t>
  </si>
  <si>
    <t xml:space="preserve">الحي الجديد ديار الغرب </t>
  </si>
  <si>
    <t>حي أ,ش,ل,م</t>
  </si>
  <si>
    <t>حي عين البيضاء</t>
  </si>
  <si>
    <t>حي عين الشرب عين طاية</t>
  </si>
  <si>
    <t xml:space="preserve">مدرسة البنين </t>
  </si>
  <si>
    <t>مدرسة الجزائر البحري</t>
  </si>
  <si>
    <t>مدرسة حي قعلول</t>
  </si>
  <si>
    <t>مدرسة الأرض العائلية</t>
  </si>
  <si>
    <t>مدرسة برج البحري بنات</t>
  </si>
  <si>
    <t>مدرسة ليزوندين</t>
  </si>
  <si>
    <t>مدرسة الحماية المدنية</t>
  </si>
  <si>
    <t>مدرسة نسيم البحر</t>
  </si>
  <si>
    <t>مدرسة الجزائر شاطئ 2</t>
  </si>
  <si>
    <t>شارع هواري بومدين</t>
  </si>
  <si>
    <t>الطريق المركزي الجزائر الشاطئ</t>
  </si>
  <si>
    <t>حي قعلول</t>
  </si>
  <si>
    <t>حي 20 أوت 1956</t>
  </si>
  <si>
    <t>الطريق الوطني 24</t>
  </si>
  <si>
    <t>ليزوندين</t>
  </si>
  <si>
    <t>حي الحماية المدنية</t>
  </si>
  <si>
    <t>حي نسيم البحر</t>
  </si>
  <si>
    <t>مدرسة المرسى</t>
  </si>
  <si>
    <t>مدرسة تمنتفوست</t>
  </si>
  <si>
    <t xml:space="preserve">متوسطة زيغود يوسف </t>
  </si>
  <si>
    <t>مدرسة حي المحجر تامنتفوست</t>
  </si>
  <si>
    <t>وسط المدينة</t>
  </si>
  <si>
    <t>حي 5 جويلية المرسى</t>
  </si>
  <si>
    <t>حي المحجر تامنتفوست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</si>
</sst>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rgb="FF000000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/>
    <xf numFmtId="0" fontId="1" fillId="2" borderId="1" xfId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/>
    <xf numFmtId="0" fontId="0" fillId="0" borderId="0" xfId="0" applyBorder="1"/>
    <xf numFmtId="0" fontId="6" fillId="0" borderId="1" xfId="0" applyFont="1" applyBorder="1" applyAlignment="1">
      <alignment vertical="center"/>
    </xf>
    <xf numFmtId="0" fontId="0" fillId="0" borderId="0" xfId="0" applyAlignment="1">
      <alignment horizontal="center"/>
    </xf>
    <xf numFmtId="0" fontId="1" fillId="2" borderId="7" xfId="1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7" fillId="2" borderId="7" xfId="1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/>
    </xf>
    <xf numFmtId="0" fontId="8" fillId="3" borderId="1" xfId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right" vertical="center"/>
    </xf>
    <xf numFmtId="0" fontId="0" fillId="0" borderId="1" xfId="0" applyBorder="1" applyAlignment="1">
      <alignment readingOrder="2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readingOrder="2"/>
    </xf>
    <xf numFmtId="0" fontId="1" fillId="0" borderId="1" xfId="0" applyFont="1" applyBorder="1" applyAlignment="1">
      <alignment horizontal="center" vertical="center" readingOrder="2"/>
    </xf>
    <xf numFmtId="0" fontId="1" fillId="0" borderId="7" xfId="0" applyFont="1" applyBorder="1" applyAlignment="1">
      <alignment horizontal="right" vertical="center"/>
    </xf>
    <xf numFmtId="0" fontId="1" fillId="0" borderId="8" xfId="0" applyFont="1" applyBorder="1" applyAlignment="1">
      <alignment horizontal="right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readingOrder="2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1" fillId="0" borderId="7" xfId="0" applyFont="1" applyBorder="1" applyAlignment="1">
      <alignment horizontal="right" vertical="center"/>
    </xf>
    <xf numFmtId="0" fontId="1" fillId="0" borderId="8" xfId="0" applyFont="1" applyBorder="1" applyAlignment="1">
      <alignment horizontal="right" vertical="center"/>
    </xf>
    <xf numFmtId="0" fontId="1" fillId="0" borderId="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7" xfId="0" applyFont="1" applyBorder="1" applyAlignment="1">
      <alignment horizontal="right" vertical="center" readingOrder="2"/>
    </xf>
    <xf numFmtId="0" fontId="1" fillId="0" borderId="8" xfId="0" applyFont="1" applyBorder="1" applyAlignment="1">
      <alignment horizontal="right" vertical="center" readingOrder="2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marefa.org/index.php?title=%D8%A8%D8%A7%D8%B4_%D8%AC%D8%B1%D8%A7%D8%AD&amp;action=edit&amp;redlink=1" TargetMode="External"/><Relationship Id="rId18" Type="http://schemas.openxmlformats.org/officeDocument/2006/relationships/hyperlink" Target="https://www.marefa.org/%D8%A8%D9%84%D8%AF%D9%8A%D8%A9_%D8%A8%D8%A6%D8%B1_%D8%AE%D8%A7%D8%AF%D9%85" TargetMode="External"/><Relationship Id="rId26" Type="http://schemas.openxmlformats.org/officeDocument/2006/relationships/hyperlink" Target="https://www.marefa.org/index.php?title=%D8%B9%D9%8A%D9%86_%D8%B7%D8%A7%D9%8A%D8%A9&amp;action=edit&amp;redlink=1" TargetMode="External"/><Relationship Id="rId39" Type="http://schemas.openxmlformats.org/officeDocument/2006/relationships/hyperlink" Target="https://www.marefa.org/index.php?title=%D8%A7%D9%84%D8%B3%D9%88%D9%8A%D8%AF%D8%A7%D9%86%D9%8A%D8%A9&amp;action=edit&amp;redlink=1" TargetMode="External"/><Relationship Id="rId21" Type="http://schemas.openxmlformats.org/officeDocument/2006/relationships/hyperlink" Target="https://www.marefa.org/index.php?title=%D8%A8%D9%84%D8%AF%D9%8A%D8%A9_%D8%B3%D8%AD%D8%A7%D9%88%D9%84%D8%A9&amp;action=edit&amp;redlink=1" TargetMode="External"/><Relationship Id="rId34" Type="http://schemas.openxmlformats.org/officeDocument/2006/relationships/hyperlink" Target="https://www.marefa.org/index.php?title=%D8%A7%D9%84%D9%83%D8%A7%D9%84%D9%8A%D8%AA%D9%88%D8%B3&amp;action=edit&amp;redlink=1" TargetMode="External"/><Relationship Id="rId42" Type="http://schemas.openxmlformats.org/officeDocument/2006/relationships/hyperlink" Target="https://www.marefa.org/index.php?title=%D8%B9%D9%8A%D9%86_%D8%A7%D9%84%D8%A8%D9%86%D9%8A%D8%A7%D9%86&amp;action=edit&amp;redlink=1" TargetMode="External"/><Relationship Id="rId47" Type="http://schemas.openxmlformats.org/officeDocument/2006/relationships/hyperlink" Target="https://www.marefa.org/index.php?title=%D8%A8%D8%A7%D8%A8%D8%A7_%D8%AD%D8%B3%D9%86&amp;action=edit&amp;redlink=1" TargetMode="External"/><Relationship Id="rId50" Type="http://schemas.openxmlformats.org/officeDocument/2006/relationships/hyperlink" Target="https://www.marefa.org/index.php?title=%D8%A7%D9%84%D8%B9%D8%A7%D8%B4%D9%88%D8%B1&amp;action=edit&amp;redlink=1" TargetMode="External"/><Relationship Id="rId55" Type="http://schemas.openxmlformats.org/officeDocument/2006/relationships/printerSettings" Target="../printerSettings/printerSettings1.bin"/><Relationship Id="rId7" Type="http://schemas.openxmlformats.org/officeDocument/2006/relationships/hyperlink" Target="https://www.marefa.org/index.php?title=%D8%A8%D9%88%D9%84%D9%88%D8%BA%D9%8A%D9%86&amp;action=edit&amp;redlink=1" TargetMode="External"/><Relationship Id="rId2" Type="http://schemas.openxmlformats.org/officeDocument/2006/relationships/hyperlink" Target="https://www.marefa.org/%D8%B3%D9%8A%D8%AF%D9%8A_%D8%A7%D9%85%D8%AD%D9%85%D8%AF" TargetMode="External"/><Relationship Id="rId16" Type="http://schemas.openxmlformats.org/officeDocument/2006/relationships/hyperlink" Target="https://www.marefa.org/index.php?title=%D9%88%D8%A7%D8%AF%D9%8A_%D8%A7%D9%84%D8%B3%D9%85%D8%A7%D8%B1&amp;action=edit&amp;redlink=1" TargetMode="External"/><Relationship Id="rId29" Type="http://schemas.openxmlformats.org/officeDocument/2006/relationships/hyperlink" Target="https://www.marefa.org/%D8%A8%D8%B1%D8%AC_%D8%A7%D9%84%D9%83%D9%8A%D9%81%D8%A7%D9%86" TargetMode="External"/><Relationship Id="rId11" Type="http://schemas.openxmlformats.org/officeDocument/2006/relationships/hyperlink" Target="https://www.marefa.org/index.php?title=%D8%AD%D8%B3%D9%8A%D9%86_%D8%AF%D8%A7%D9%8A&amp;action=edit&amp;redlink=1" TargetMode="External"/><Relationship Id="rId24" Type="http://schemas.openxmlformats.org/officeDocument/2006/relationships/hyperlink" Target="https://www.marefa.org/%D8%A8%D9%88%D8%B2%D8%B1%D9%8A%D8%B9%D8%A9" TargetMode="External"/><Relationship Id="rId32" Type="http://schemas.openxmlformats.org/officeDocument/2006/relationships/hyperlink" Target="https://www.marefa.org/%D8%A8%D9%84%D8%AF%D9%8A%D8%A9_%D8%A7%D9%84%D9%85%D8%AD%D9%85%D8%AF%D9%8A%D8%A9(%D8%A7%D9%84%D8%AC%D8%B2%D8%A7%D8%A6%D8%B1)" TargetMode="External"/><Relationship Id="rId37" Type="http://schemas.openxmlformats.org/officeDocument/2006/relationships/hyperlink" Target="https://www.marefa.org/index.php?title=%D8%A7%D9%84%D8%B1%D8%BA%D8%A7%D9%8A%D8%A9&amp;action=edit&amp;redlink=1" TargetMode="External"/><Relationship Id="rId40" Type="http://schemas.openxmlformats.org/officeDocument/2006/relationships/hyperlink" Target="https://www.marefa.org/%D8%B3%D8%B7%D8%A7%D9%88%D8%A7%D9%84%D9%8A" TargetMode="External"/><Relationship Id="rId45" Type="http://schemas.openxmlformats.org/officeDocument/2006/relationships/hyperlink" Target="https://www.marefa.org/index.php?title=%D8%A3%D9%88%D9%84%D8%A7%D8%AF_%D9%81%D8%A7%D9%8A%D8%AA&amp;action=edit&amp;redlink=1" TargetMode="External"/><Relationship Id="rId53" Type="http://schemas.openxmlformats.org/officeDocument/2006/relationships/hyperlink" Target="https://www.marefa.org/index.php?title=%D8%A3%D9%88%D9%84%D8%A7%D8%AF_%D8%B4%D8%A8%D9%84&amp;action=edit&amp;redlink=1" TargetMode="External"/><Relationship Id="rId5" Type="http://schemas.openxmlformats.org/officeDocument/2006/relationships/hyperlink" Target="https://www.marefa.org/%D8%A8%D8%A7%D8%A8_%D8%A7%D9%84%D9%88%D8%A7%D8%AF_(%D8%A8%D9%84%D8%AF%D9%8A%D8%A9)" TargetMode="External"/><Relationship Id="rId10" Type="http://schemas.openxmlformats.org/officeDocument/2006/relationships/hyperlink" Target="https://www.marefa.org/%D8%A8%D9%84%D8%AF%D9%8A%D8%A9_%D8%A7%D9%84%D9%85%D9%82%D8%A7%D8%B1%D9%8A%D8%A9" TargetMode="External"/><Relationship Id="rId19" Type="http://schemas.openxmlformats.org/officeDocument/2006/relationships/hyperlink" Target="https://www.marefa.org/%D8%AC%D8%B3%D8%B1_%D9%82%D8%B3%D9%86%D8%B7%D9%8A%D9%86%D8%A9" TargetMode="External"/><Relationship Id="rId31" Type="http://schemas.openxmlformats.org/officeDocument/2006/relationships/hyperlink" Target="https://www.marefa.org/%D8%A8%D9%84%D8%AF%D9%8A%D8%A9_%D8%A7%D9%84%D9%85%D8%B1%D8%B3%D9%89" TargetMode="External"/><Relationship Id="rId44" Type="http://schemas.openxmlformats.org/officeDocument/2006/relationships/hyperlink" Target="https://www.marefa.org/index.php?title=%D8%AF%D8%A7%D9%84%D9%8A_%D8%A7%D8%A8%D8%B1%D8%A7%D9%87%D9%8A%D9%85&amp;action=edit&amp;redlink=1" TargetMode="External"/><Relationship Id="rId52" Type="http://schemas.openxmlformats.org/officeDocument/2006/relationships/hyperlink" Target="https://www.marefa.org/index.php?title=%D8%A8%D8%A6%D8%B1_%D8%AA%D9%88%D8%AA%D8%A9&amp;action=edit&amp;redlink=1" TargetMode="External"/><Relationship Id="rId4" Type="http://schemas.openxmlformats.org/officeDocument/2006/relationships/hyperlink" Target="https://www.marefa.org/%D8%A7%D9%84%D9%85%D8%B1%D8%A7%D8%AF%D9%8A%D8%A9" TargetMode="External"/><Relationship Id="rId9" Type="http://schemas.openxmlformats.org/officeDocument/2006/relationships/hyperlink" Target="https://www.marefa.org/index.php?title=%D8%B1%D8%A7%D9%8A%D8%B3_%D8%AD%D9%85%D9%8A%D8%AF%D9%88&amp;action=edit&amp;redlink=1" TargetMode="External"/><Relationship Id="rId14" Type="http://schemas.openxmlformats.org/officeDocument/2006/relationships/hyperlink" Target="https://www.marefa.org/index.php?title=%D8%A8%D9%88%D8%B1%D9%88%D8%A8%D8%A9&amp;action=edit&amp;redlink=1" TargetMode="External"/><Relationship Id="rId22" Type="http://schemas.openxmlformats.org/officeDocument/2006/relationships/hyperlink" Target="https://www.marefa.org/%D8%A8%D9%86_%D8%B9%D9%83%D9%86%D9%88%D9%86" TargetMode="External"/><Relationship Id="rId27" Type="http://schemas.openxmlformats.org/officeDocument/2006/relationships/hyperlink" Target="https://www.marefa.org/index.php?title=%D8%A8%D8%A7%D8%A8_%D8%A7%D9%84%D8%B2%D9%88%D8%A7%D8%B1&amp;action=edit&amp;redlink=1" TargetMode="External"/><Relationship Id="rId30" Type="http://schemas.openxmlformats.org/officeDocument/2006/relationships/hyperlink" Target="https://www.marefa.org/%D8%A8%D9%84%D8%AF%D9%8A%D8%A9_%D8%A7%D9%84%D8%AF%D8%A7%D8%B1_%D8%A7%D9%84%D8%A8%D9%8A%D8%B6%D8%A7%D8%A1_(%D8%A7%D9%84%D8%AC%D8%B2%D8%A7%D8%A6%D8%B1)" TargetMode="External"/><Relationship Id="rId35" Type="http://schemas.openxmlformats.org/officeDocument/2006/relationships/hyperlink" Target="https://www.marefa.org/index.php?title=%D8%B3%D9%8A%D8%AF%D9%8A_%D9%85%D9%88%D8%B3%D9%89&amp;action=edit&amp;redlink=1" TargetMode="External"/><Relationship Id="rId43" Type="http://schemas.openxmlformats.org/officeDocument/2006/relationships/hyperlink" Target="https://www.marefa.org/index.php?title=%D8%A7%D9%84%D8%B4%D8%B1%D8%A7%D9%82%D8%A9&amp;action=edit&amp;redlink=1" TargetMode="External"/><Relationship Id="rId48" Type="http://schemas.openxmlformats.org/officeDocument/2006/relationships/hyperlink" Target="https://www.marefa.org/index.php?title=%D8%AF%D9%88%D9%8A%D8%B1%D8%A9&amp;action=edit&amp;redlink=1" TargetMode="External"/><Relationship Id="rId8" Type="http://schemas.openxmlformats.org/officeDocument/2006/relationships/hyperlink" Target="https://www.marefa.org/%D9%88%D8%A7%D8%AF_%D9%82%D8%B1%D9%8A%D8%B4" TargetMode="External"/><Relationship Id="rId51" Type="http://schemas.openxmlformats.org/officeDocument/2006/relationships/hyperlink" Target="https://www.marefa.org/index.php?title=%D8%AE%D8%B1%D8%A7%D9%8A%D8%B3%D9%8A%D8%A9&amp;action=edit&amp;redlink=1" TargetMode="External"/><Relationship Id="rId3" Type="http://schemas.openxmlformats.org/officeDocument/2006/relationships/hyperlink" Target="https://www.marefa.org/index.php?title=%D8%A7%D9%84%D9%85%D8%AF%D9%86%D9%8A%D8%A9&amp;action=edit&amp;redlink=1" TargetMode="External"/><Relationship Id="rId12" Type="http://schemas.openxmlformats.org/officeDocument/2006/relationships/hyperlink" Target="https://www.marefa.org/%D8%A7%D9%84%D9%82%D8%A8%D8%A9" TargetMode="External"/><Relationship Id="rId17" Type="http://schemas.openxmlformats.org/officeDocument/2006/relationships/hyperlink" Target="https://www.marefa.org/%D8%A8%D8%A6%D8%B1_%D9%85%D8%B1%D8%A7%D8%AF_%D8%B1%D8%A7%D9%8A%D8%B3" TargetMode="External"/><Relationship Id="rId25" Type="http://schemas.openxmlformats.org/officeDocument/2006/relationships/hyperlink" Target="https://www.marefa.org/%D8%A7%D9%84%D8%A3%D8%A8%D9%8A%D8%A7%D8%B1" TargetMode="External"/><Relationship Id="rId33" Type="http://schemas.openxmlformats.org/officeDocument/2006/relationships/hyperlink" Target="https://www.marefa.org/index.php?title=%D8%A8%D8%B1%D8%A7%D9%82%D9%8A&amp;action=edit&amp;redlink=1" TargetMode="External"/><Relationship Id="rId38" Type="http://schemas.openxmlformats.org/officeDocument/2006/relationships/hyperlink" Target="https://www.marefa.org/index.php?title=%D8%A7%D9%84%D8%B1%D9%88%D9%8A%D8%A8%D8%A9&amp;action=edit&amp;redlink=1" TargetMode="External"/><Relationship Id="rId46" Type="http://schemas.openxmlformats.org/officeDocument/2006/relationships/hyperlink" Target="https://www.marefa.org/%D8%A8%D9%84%D8%AF%D9%8A%D8%A9_%D8%A7%D9%84%D8%AD%D9%85%D8%A7%D9%85%D8%A7%D8%AA_(%D8%A7%D9%84%D8%AC%D8%B2%D8%A7%D8%A6%D8%B1)" TargetMode="External"/><Relationship Id="rId20" Type="http://schemas.openxmlformats.org/officeDocument/2006/relationships/hyperlink" Target="https://www.marefa.org/%D8%AD%D9%8A%D8%AF%D8%B1%D8%A9" TargetMode="External"/><Relationship Id="rId41" Type="http://schemas.openxmlformats.org/officeDocument/2006/relationships/hyperlink" Target="https://www.marefa.org/%D8%B2%D8%B1%D8%A7%D9%84%D8%AF%D8%A9" TargetMode="External"/><Relationship Id="rId54" Type="http://schemas.openxmlformats.org/officeDocument/2006/relationships/hyperlink" Target="https://www.marefa.org/%D8%AA%D8%B3%D8%A7%D9%84%D8%A9_%D8%A7%D9%84%D9%85%D8%B1%D8%AC%D8%A9" TargetMode="External"/><Relationship Id="rId1" Type="http://schemas.openxmlformats.org/officeDocument/2006/relationships/hyperlink" Target="https://www.marefa.org/%D8%A7%D9%84%D8%AC%D8%B2%D8%A7%D8%A6%D8%B1_%D8%A7%D9%84%D9%88%D8%B3%D8%B7%D9%89" TargetMode="External"/><Relationship Id="rId6" Type="http://schemas.openxmlformats.org/officeDocument/2006/relationships/hyperlink" Target="https://www.marefa.org/%D8%A7%D9%84%D9%82%D8%B5%D8%A8%D8%A9" TargetMode="External"/><Relationship Id="rId15" Type="http://schemas.openxmlformats.org/officeDocument/2006/relationships/hyperlink" Target="https://www.marefa.org/index.php?title=%D8%A7%D9%84%D8%AD%D8%B1%D8%A7%D8%B4&amp;action=edit&amp;redlink=1" TargetMode="External"/><Relationship Id="rId23" Type="http://schemas.openxmlformats.org/officeDocument/2006/relationships/hyperlink" Target="https://www.marefa.org/%D8%A8%D9%86%D9%8A_%D9%85%D8%B3%D9%88%D8%B3" TargetMode="External"/><Relationship Id="rId28" Type="http://schemas.openxmlformats.org/officeDocument/2006/relationships/hyperlink" Target="https://www.marefa.org/%D8%A8%D8%B1%D8%AC_%D8%A7%D9%84%D8%A8%D8%AD%D8%B1%D9%8A" TargetMode="External"/><Relationship Id="rId36" Type="http://schemas.openxmlformats.org/officeDocument/2006/relationships/hyperlink" Target="https://www.marefa.org/index.php?title=%D9%87%D8%B1%D8%A7%D9%88%D8%A9&amp;action=edit&amp;redlink=1" TargetMode="External"/><Relationship Id="rId49" Type="http://schemas.openxmlformats.org/officeDocument/2006/relationships/hyperlink" Target="https://www.marefa.org/index.php?title=%D8%A7%D9%84%D8%AF%D8%B1%D8%A7%D8%B1%D9%8A%D8%A9&amp;action=edit&amp;redlink=1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marefa.org/index.php?title=%D8%A8%D8%A7%D8%B4_%D8%AC%D8%B1%D8%A7%D8%AD&amp;action=edit&amp;redlink=1" TargetMode="External"/><Relationship Id="rId18" Type="http://schemas.openxmlformats.org/officeDocument/2006/relationships/hyperlink" Target="https://www.marefa.org/%D8%A8%D9%84%D8%AF%D9%8A%D8%A9_%D8%A8%D8%A6%D8%B1_%D8%AE%D8%A7%D8%AF%D9%85" TargetMode="External"/><Relationship Id="rId26" Type="http://schemas.openxmlformats.org/officeDocument/2006/relationships/hyperlink" Target="https://www.marefa.org/index.php?title=%D8%B9%D9%8A%D9%86_%D8%B7%D8%A7%D9%8A%D8%A9&amp;action=edit&amp;redlink=1" TargetMode="External"/><Relationship Id="rId39" Type="http://schemas.openxmlformats.org/officeDocument/2006/relationships/hyperlink" Target="https://www.marefa.org/index.php?title=%D8%A7%D9%84%D8%B3%D9%88%D9%8A%D8%AF%D8%A7%D9%86%D9%8A%D8%A9&amp;action=edit&amp;redlink=1" TargetMode="External"/><Relationship Id="rId21" Type="http://schemas.openxmlformats.org/officeDocument/2006/relationships/hyperlink" Target="https://www.marefa.org/index.php?title=%D8%A8%D9%84%D8%AF%D9%8A%D8%A9_%D8%B3%D8%AD%D8%A7%D9%88%D9%84%D8%A9&amp;action=edit&amp;redlink=1" TargetMode="External"/><Relationship Id="rId34" Type="http://schemas.openxmlformats.org/officeDocument/2006/relationships/hyperlink" Target="https://www.marefa.org/index.php?title=%D8%A7%D9%84%D9%83%D8%A7%D9%84%D9%8A%D8%AA%D9%88%D8%B3&amp;action=edit&amp;redlink=1" TargetMode="External"/><Relationship Id="rId42" Type="http://schemas.openxmlformats.org/officeDocument/2006/relationships/hyperlink" Target="https://www.marefa.org/index.php?title=%D8%B9%D9%8A%D9%86_%D8%A7%D9%84%D8%A8%D9%86%D9%8A%D8%A7%D9%86&amp;action=edit&amp;redlink=1" TargetMode="External"/><Relationship Id="rId47" Type="http://schemas.openxmlformats.org/officeDocument/2006/relationships/hyperlink" Target="https://www.marefa.org/index.php?title=%D8%A8%D8%A7%D8%A8%D8%A7_%D8%AD%D8%B3%D9%86&amp;action=edit&amp;redlink=1" TargetMode="External"/><Relationship Id="rId50" Type="http://schemas.openxmlformats.org/officeDocument/2006/relationships/hyperlink" Target="https://www.marefa.org/index.php?title=%D8%A7%D9%84%D8%B9%D8%A7%D8%B4%D9%88%D8%B1&amp;action=edit&amp;redlink=1" TargetMode="External"/><Relationship Id="rId55" Type="http://schemas.openxmlformats.org/officeDocument/2006/relationships/printerSettings" Target="../printerSettings/printerSettings2.bin"/><Relationship Id="rId7" Type="http://schemas.openxmlformats.org/officeDocument/2006/relationships/hyperlink" Target="https://www.marefa.org/index.php?title=%D8%A8%D9%88%D9%84%D9%88%D8%BA%D9%8A%D9%86&amp;action=edit&amp;redlink=1" TargetMode="External"/><Relationship Id="rId2" Type="http://schemas.openxmlformats.org/officeDocument/2006/relationships/hyperlink" Target="https://www.marefa.org/%D8%B3%D9%8A%D8%AF%D9%8A_%D8%A7%D9%85%D8%AD%D9%85%D8%AF" TargetMode="External"/><Relationship Id="rId16" Type="http://schemas.openxmlformats.org/officeDocument/2006/relationships/hyperlink" Target="https://www.marefa.org/index.php?title=%D9%88%D8%A7%D8%AF%D9%8A_%D8%A7%D9%84%D8%B3%D9%85%D8%A7%D8%B1&amp;action=edit&amp;redlink=1" TargetMode="External"/><Relationship Id="rId29" Type="http://schemas.openxmlformats.org/officeDocument/2006/relationships/hyperlink" Target="https://www.marefa.org/%D8%A8%D8%B1%D8%AC_%D8%A7%D9%84%D9%83%D9%8A%D9%81%D8%A7%D9%86" TargetMode="External"/><Relationship Id="rId11" Type="http://schemas.openxmlformats.org/officeDocument/2006/relationships/hyperlink" Target="https://www.marefa.org/index.php?title=%D8%AD%D8%B3%D9%8A%D9%86_%D8%AF%D8%A7%D9%8A&amp;action=edit&amp;redlink=1" TargetMode="External"/><Relationship Id="rId24" Type="http://schemas.openxmlformats.org/officeDocument/2006/relationships/hyperlink" Target="https://www.marefa.org/%D8%A8%D9%88%D8%B2%D8%B1%D9%8A%D8%B9%D8%A9" TargetMode="External"/><Relationship Id="rId32" Type="http://schemas.openxmlformats.org/officeDocument/2006/relationships/hyperlink" Target="https://www.marefa.org/%D8%A8%D9%84%D8%AF%D9%8A%D8%A9_%D8%A7%D9%84%D9%85%D8%AD%D9%85%D8%AF%D9%8A%D8%A9(%D8%A7%D9%84%D8%AC%D8%B2%D8%A7%D8%A6%D8%B1)" TargetMode="External"/><Relationship Id="rId37" Type="http://schemas.openxmlformats.org/officeDocument/2006/relationships/hyperlink" Target="https://www.marefa.org/index.php?title=%D8%A7%D9%84%D8%B1%D8%BA%D8%A7%D9%8A%D8%A9&amp;action=edit&amp;redlink=1" TargetMode="External"/><Relationship Id="rId40" Type="http://schemas.openxmlformats.org/officeDocument/2006/relationships/hyperlink" Target="https://www.marefa.org/%D8%B3%D8%B7%D8%A7%D9%88%D8%A7%D9%84%D9%8A" TargetMode="External"/><Relationship Id="rId45" Type="http://schemas.openxmlformats.org/officeDocument/2006/relationships/hyperlink" Target="https://www.marefa.org/index.php?title=%D8%A3%D9%88%D9%84%D8%A7%D8%AF_%D9%81%D8%A7%D9%8A%D8%AA&amp;action=edit&amp;redlink=1" TargetMode="External"/><Relationship Id="rId53" Type="http://schemas.openxmlformats.org/officeDocument/2006/relationships/hyperlink" Target="https://www.marefa.org/index.php?title=%D8%A3%D9%88%D9%84%D8%A7%D8%AF_%D8%B4%D8%A8%D9%84&amp;action=edit&amp;redlink=1" TargetMode="External"/><Relationship Id="rId5" Type="http://schemas.openxmlformats.org/officeDocument/2006/relationships/hyperlink" Target="https://www.marefa.org/%D8%A8%D8%A7%D8%A8_%D8%A7%D9%84%D9%88%D8%A7%D8%AF_(%D8%A8%D9%84%D8%AF%D9%8A%D8%A9)" TargetMode="External"/><Relationship Id="rId10" Type="http://schemas.openxmlformats.org/officeDocument/2006/relationships/hyperlink" Target="https://www.marefa.org/%D8%A8%D9%84%D8%AF%D9%8A%D8%A9_%D8%A7%D9%84%D9%85%D9%82%D8%A7%D8%B1%D9%8A%D8%A9" TargetMode="External"/><Relationship Id="rId19" Type="http://schemas.openxmlformats.org/officeDocument/2006/relationships/hyperlink" Target="https://www.marefa.org/%D8%AC%D8%B3%D8%B1_%D9%82%D8%B3%D9%86%D8%B7%D9%8A%D9%86%D8%A9" TargetMode="External"/><Relationship Id="rId31" Type="http://schemas.openxmlformats.org/officeDocument/2006/relationships/hyperlink" Target="https://www.marefa.org/%D8%A8%D9%84%D8%AF%D9%8A%D8%A9_%D8%A7%D9%84%D9%85%D8%B1%D8%B3%D9%89" TargetMode="External"/><Relationship Id="rId44" Type="http://schemas.openxmlformats.org/officeDocument/2006/relationships/hyperlink" Target="https://www.marefa.org/index.php?title=%D8%AF%D8%A7%D9%84%D9%8A_%D8%A7%D8%A8%D8%B1%D8%A7%D9%87%D9%8A%D9%85&amp;action=edit&amp;redlink=1" TargetMode="External"/><Relationship Id="rId52" Type="http://schemas.openxmlformats.org/officeDocument/2006/relationships/hyperlink" Target="https://www.marefa.org/index.php?title=%D8%A8%D8%A6%D8%B1_%D8%AA%D9%88%D8%AA%D8%A9&amp;action=edit&amp;redlink=1" TargetMode="External"/><Relationship Id="rId4" Type="http://schemas.openxmlformats.org/officeDocument/2006/relationships/hyperlink" Target="https://www.marefa.org/%D8%A7%D9%84%D9%85%D8%B1%D8%A7%D8%AF%D9%8A%D8%A9" TargetMode="External"/><Relationship Id="rId9" Type="http://schemas.openxmlformats.org/officeDocument/2006/relationships/hyperlink" Target="https://www.marefa.org/index.php?title=%D8%B1%D8%A7%D9%8A%D8%B3_%D8%AD%D9%85%D9%8A%D8%AF%D9%88&amp;action=edit&amp;redlink=1" TargetMode="External"/><Relationship Id="rId14" Type="http://schemas.openxmlformats.org/officeDocument/2006/relationships/hyperlink" Target="https://www.marefa.org/index.php?title=%D8%A8%D9%88%D8%B1%D9%88%D8%A8%D8%A9&amp;action=edit&amp;redlink=1" TargetMode="External"/><Relationship Id="rId22" Type="http://schemas.openxmlformats.org/officeDocument/2006/relationships/hyperlink" Target="https://www.marefa.org/%D8%A8%D9%86_%D8%B9%D9%83%D9%86%D9%88%D9%86" TargetMode="External"/><Relationship Id="rId27" Type="http://schemas.openxmlformats.org/officeDocument/2006/relationships/hyperlink" Target="https://www.marefa.org/index.php?title=%D8%A8%D8%A7%D8%A8_%D8%A7%D9%84%D8%B2%D9%88%D8%A7%D8%B1&amp;action=edit&amp;redlink=1" TargetMode="External"/><Relationship Id="rId30" Type="http://schemas.openxmlformats.org/officeDocument/2006/relationships/hyperlink" Target="https://www.marefa.org/%D8%A8%D9%84%D8%AF%D9%8A%D8%A9_%D8%A7%D9%84%D8%AF%D8%A7%D8%B1_%D8%A7%D9%84%D8%A8%D9%8A%D8%B6%D8%A7%D8%A1_(%D8%A7%D9%84%D8%AC%D8%B2%D8%A7%D8%A6%D8%B1)" TargetMode="External"/><Relationship Id="rId35" Type="http://schemas.openxmlformats.org/officeDocument/2006/relationships/hyperlink" Target="https://www.marefa.org/index.php?title=%D8%B3%D9%8A%D8%AF%D9%8A_%D9%85%D9%88%D8%B3%D9%89&amp;action=edit&amp;redlink=1" TargetMode="External"/><Relationship Id="rId43" Type="http://schemas.openxmlformats.org/officeDocument/2006/relationships/hyperlink" Target="https://www.marefa.org/index.php?title=%D8%A7%D9%84%D8%B4%D8%B1%D8%A7%D9%82%D8%A9&amp;action=edit&amp;redlink=1" TargetMode="External"/><Relationship Id="rId48" Type="http://schemas.openxmlformats.org/officeDocument/2006/relationships/hyperlink" Target="https://www.marefa.org/index.php?title=%D8%AF%D9%88%D9%8A%D8%B1%D8%A9&amp;action=edit&amp;redlink=1" TargetMode="External"/><Relationship Id="rId8" Type="http://schemas.openxmlformats.org/officeDocument/2006/relationships/hyperlink" Target="https://www.marefa.org/%D9%88%D8%A7%D8%AF_%D9%82%D8%B1%D9%8A%D8%B4" TargetMode="External"/><Relationship Id="rId51" Type="http://schemas.openxmlformats.org/officeDocument/2006/relationships/hyperlink" Target="https://www.marefa.org/index.php?title=%D8%AE%D8%B1%D8%A7%D9%8A%D8%B3%D9%8A%D8%A9&amp;action=edit&amp;redlink=1" TargetMode="External"/><Relationship Id="rId3" Type="http://schemas.openxmlformats.org/officeDocument/2006/relationships/hyperlink" Target="https://www.marefa.org/index.php?title=%D8%A7%D9%84%D9%85%D8%AF%D9%86%D9%8A%D8%A9&amp;action=edit&amp;redlink=1" TargetMode="External"/><Relationship Id="rId12" Type="http://schemas.openxmlformats.org/officeDocument/2006/relationships/hyperlink" Target="https://www.marefa.org/%D8%A7%D9%84%D9%82%D8%A8%D8%A9" TargetMode="External"/><Relationship Id="rId17" Type="http://schemas.openxmlformats.org/officeDocument/2006/relationships/hyperlink" Target="https://www.marefa.org/%D8%A8%D8%A6%D8%B1_%D9%85%D8%B1%D8%A7%D8%AF_%D8%B1%D8%A7%D9%8A%D8%B3" TargetMode="External"/><Relationship Id="rId25" Type="http://schemas.openxmlformats.org/officeDocument/2006/relationships/hyperlink" Target="https://www.marefa.org/%D8%A7%D9%84%D8%A3%D8%A8%D9%8A%D8%A7%D8%B1" TargetMode="External"/><Relationship Id="rId33" Type="http://schemas.openxmlformats.org/officeDocument/2006/relationships/hyperlink" Target="https://www.marefa.org/index.php?title=%D8%A8%D8%B1%D8%A7%D9%82%D9%8A&amp;action=edit&amp;redlink=1" TargetMode="External"/><Relationship Id="rId38" Type="http://schemas.openxmlformats.org/officeDocument/2006/relationships/hyperlink" Target="https://www.marefa.org/index.php?title=%D8%A7%D9%84%D8%B1%D9%88%D9%8A%D8%A8%D8%A9&amp;action=edit&amp;redlink=1" TargetMode="External"/><Relationship Id="rId46" Type="http://schemas.openxmlformats.org/officeDocument/2006/relationships/hyperlink" Target="https://www.marefa.org/%D8%A8%D9%84%D8%AF%D9%8A%D8%A9_%D8%A7%D9%84%D8%AD%D9%85%D8%A7%D9%85%D8%A7%D8%AA_(%D8%A7%D9%84%D8%AC%D8%B2%D8%A7%D8%A6%D8%B1)" TargetMode="External"/><Relationship Id="rId20" Type="http://schemas.openxmlformats.org/officeDocument/2006/relationships/hyperlink" Target="https://www.marefa.org/%D8%AD%D9%8A%D8%AF%D8%B1%D8%A9" TargetMode="External"/><Relationship Id="rId41" Type="http://schemas.openxmlformats.org/officeDocument/2006/relationships/hyperlink" Target="https://www.marefa.org/%D8%B2%D8%B1%D8%A7%D9%84%D8%AF%D8%A9" TargetMode="External"/><Relationship Id="rId54" Type="http://schemas.openxmlformats.org/officeDocument/2006/relationships/hyperlink" Target="https://www.marefa.org/%D8%AA%D8%B3%D8%A7%D9%84%D8%A9_%D8%A7%D9%84%D9%85%D8%B1%D8%AC%D8%A9" TargetMode="External"/><Relationship Id="rId1" Type="http://schemas.openxmlformats.org/officeDocument/2006/relationships/hyperlink" Target="https://www.marefa.org/%D8%A7%D9%84%D8%AC%D8%B2%D8%A7%D8%A6%D8%B1_%D8%A7%D9%84%D9%88%D8%B3%D8%B7%D9%89" TargetMode="External"/><Relationship Id="rId6" Type="http://schemas.openxmlformats.org/officeDocument/2006/relationships/hyperlink" Target="https://www.marefa.org/%D8%A7%D9%84%D9%82%D8%B5%D8%A8%D8%A9" TargetMode="External"/><Relationship Id="rId15" Type="http://schemas.openxmlformats.org/officeDocument/2006/relationships/hyperlink" Target="https://www.marefa.org/index.php?title=%D8%A7%D9%84%D8%AD%D8%B1%D8%A7%D8%B4&amp;action=edit&amp;redlink=1" TargetMode="External"/><Relationship Id="rId23" Type="http://schemas.openxmlformats.org/officeDocument/2006/relationships/hyperlink" Target="https://www.marefa.org/%D8%A8%D9%86%D9%8A_%D9%85%D8%B3%D9%88%D8%B3" TargetMode="External"/><Relationship Id="rId28" Type="http://schemas.openxmlformats.org/officeDocument/2006/relationships/hyperlink" Target="https://www.marefa.org/%D8%A8%D8%B1%D8%AC_%D8%A7%D9%84%D8%A8%D8%AD%D8%B1%D9%8A" TargetMode="External"/><Relationship Id="rId36" Type="http://schemas.openxmlformats.org/officeDocument/2006/relationships/hyperlink" Target="https://www.marefa.org/index.php?title=%D9%87%D8%B1%D8%A7%D9%88%D8%A9&amp;action=edit&amp;redlink=1" TargetMode="External"/><Relationship Id="rId49" Type="http://schemas.openxmlformats.org/officeDocument/2006/relationships/hyperlink" Target="https://www.marefa.org/index.php?title=%D8%A7%D9%84%D8%AF%D8%B1%D8%A7%D8%B1%D9%8A%D8%A9&amp;action=edit&amp;redlink=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2"/>
  <sheetViews>
    <sheetView rightToLeft="1" topLeftCell="A19" workbookViewId="0">
      <selection activeCell="A41" sqref="A41"/>
    </sheetView>
  </sheetViews>
  <sheetFormatPr baseColWidth="10" defaultRowHeight="15" x14ac:dyDescent="0.25"/>
  <cols>
    <col min="1" max="1" width="17.7109375" customWidth="1"/>
    <col min="2" max="2" width="24.28515625" customWidth="1"/>
    <col min="3" max="3" width="18.140625" customWidth="1"/>
  </cols>
  <sheetData>
    <row r="1" spans="1:4" x14ac:dyDescent="0.25">
      <c r="A1" s="1"/>
      <c r="B1" s="2"/>
      <c r="C1" s="2"/>
      <c r="D1" s="2"/>
    </row>
    <row r="2" spans="1:4" ht="15" customHeight="1" x14ac:dyDescent="0.25">
      <c r="A2" s="34" t="s">
        <v>4</v>
      </c>
      <c r="B2" s="11" t="s">
        <v>0</v>
      </c>
      <c r="C2" s="5"/>
    </row>
    <row r="3" spans="1:4" ht="18.75" customHeight="1" x14ac:dyDescent="0.25">
      <c r="A3" s="34"/>
      <c r="B3" s="11" t="s">
        <v>1</v>
      </c>
      <c r="C3" s="5"/>
    </row>
    <row r="4" spans="1:4" ht="18.75" customHeight="1" x14ac:dyDescent="0.25">
      <c r="A4" s="34"/>
      <c r="B4" s="11" t="s">
        <v>2</v>
      </c>
      <c r="C4" s="5"/>
    </row>
    <row r="5" spans="1:4" ht="18.75" customHeight="1" x14ac:dyDescent="0.25">
      <c r="A5" s="34"/>
      <c r="B5" s="11" t="s">
        <v>3</v>
      </c>
      <c r="C5" s="5"/>
    </row>
    <row r="6" spans="1:4" ht="18" x14ac:dyDescent="0.25">
      <c r="A6" s="42"/>
      <c r="B6" s="43"/>
      <c r="C6" s="5"/>
    </row>
    <row r="7" spans="1:4" x14ac:dyDescent="0.25">
      <c r="A7" s="44" t="s">
        <v>5</v>
      </c>
      <c r="B7" s="11" t="s">
        <v>6</v>
      </c>
      <c r="C7" s="4"/>
    </row>
    <row r="8" spans="1:4" ht="18" customHeight="1" x14ac:dyDescent="0.25">
      <c r="A8" s="44"/>
      <c r="B8" s="11" t="s">
        <v>7</v>
      </c>
      <c r="C8" s="4"/>
    </row>
    <row r="9" spans="1:4" ht="18.75" customHeight="1" x14ac:dyDescent="0.25">
      <c r="A9" s="44"/>
      <c r="B9" s="11" t="s">
        <v>8</v>
      </c>
      <c r="C9" s="4"/>
    </row>
    <row r="10" spans="1:4" ht="18.75" customHeight="1" x14ac:dyDescent="0.25">
      <c r="A10" s="44"/>
      <c r="B10" s="11" t="s">
        <v>9</v>
      </c>
      <c r="C10" s="4"/>
    </row>
    <row r="11" spans="1:4" ht="18.75" customHeight="1" x14ac:dyDescent="0.25">
      <c r="A11" s="44"/>
      <c r="B11" s="11" t="s">
        <v>10</v>
      </c>
      <c r="C11" s="4"/>
    </row>
    <row r="12" spans="1:4" ht="18.75" customHeight="1" x14ac:dyDescent="0.25">
      <c r="A12" s="6"/>
      <c r="B12" s="11"/>
      <c r="C12" s="4"/>
    </row>
    <row r="13" spans="1:4" x14ac:dyDescent="0.25">
      <c r="A13" s="34" t="s">
        <v>11</v>
      </c>
      <c r="B13" s="11" t="s">
        <v>12</v>
      </c>
      <c r="C13" s="7"/>
    </row>
    <row r="14" spans="1:4" ht="15.75" x14ac:dyDescent="0.25">
      <c r="A14" s="34"/>
      <c r="B14" s="12" t="s">
        <v>66</v>
      </c>
      <c r="C14" s="7"/>
    </row>
    <row r="15" spans="1:4" ht="18" customHeight="1" x14ac:dyDescent="0.25">
      <c r="A15" s="34"/>
      <c r="B15" s="11" t="s">
        <v>13</v>
      </c>
      <c r="C15" s="7"/>
    </row>
    <row r="16" spans="1:4" ht="15.75" customHeight="1" x14ac:dyDescent="0.25">
      <c r="A16" s="34"/>
      <c r="B16" s="11" t="s">
        <v>14</v>
      </c>
      <c r="C16" s="7"/>
    </row>
    <row r="17" spans="1:3" ht="18.75" customHeight="1" x14ac:dyDescent="0.25">
      <c r="C17" s="3"/>
    </row>
    <row r="18" spans="1:3" ht="18.75" customHeight="1" x14ac:dyDescent="0.25">
      <c r="A18" s="34" t="s">
        <v>67</v>
      </c>
      <c r="B18" s="11" t="s">
        <v>26</v>
      </c>
      <c r="C18" s="7"/>
    </row>
    <row r="19" spans="1:3" x14ac:dyDescent="0.25">
      <c r="A19" s="34"/>
      <c r="B19" s="11" t="s">
        <v>27</v>
      </c>
      <c r="C19" s="7"/>
    </row>
    <row r="20" spans="1:3" x14ac:dyDescent="0.25">
      <c r="A20" s="34"/>
      <c r="B20" s="11" t="s">
        <v>28</v>
      </c>
      <c r="C20" s="7"/>
    </row>
    <row r="21" spans="1:3" ht="18" customHeight="1" x14ac:dyDescent="0.25">
      <c r="A21" s="34"/>
      <c r="B21" s="11" t="s">
        <v>29</v>
      </c>
      <c r="C21" s="7"/>
    </row>
    <row r="22" spans="1:3" ht="18.75" customHeight="1" x14ac:dyDescent="0.25">
      <c r="C22" s="3"/>
    </row>
    <row r="23" spans="1:3" ht="18.75" customHeight="1" x14ac:dyDescent="0.25">
      <c r="A23" s="44" t="s">
        <v>20</v>
      </c>
      <c r="B23" s="11" t="s">
        <v>21</v>
      </c>
      <c r="C23" s="7"/>
    </row>
    <row r="24" spans="1:3" ht="18.75" customHeight="1" x14ac:dyDescent="0.25">
      <c r="A24" s="44"/>
      <c r="B24" s="11" t="s">
        <v>22</v>
      </c>
      <c r="C24" s="7"/>
    </row>
    <row r="25" spans="1:3" x14ac:dyDescent="0.25">
      <c r="A25" s="44"/>
      <c r="B25" s="11" t="s">
        <v>23</v>
      </c>
      <c r="C25" s="7"/>
    </row>
    <row r="26" spans="1:3" x14ac:dyDescent="0.25">
      <c r="A26" s="44"/>
      <c r="B26" s="11" t="s">
        <v>24</v>
      </c>
      <c r="C26" s="7"/>
    </row>
    <row r="27" spans="1:3" ht="18" customHeight="1" x14ac:dyDescent="0.25">
      <c r="A27" s="44"/>
      <c r="B27" s="11" t="s">
        <v>25</v>
      </c>
      <c r="C27" s="7"/>
    </row>
    <row r="28" spans="1:3" ht="18.75" customHeight="1" x14ac:dyDescent="0.25">
      <c r="C28" s="3"/>
    </row>
    <row r="29" spans="1:3" ht="18.75" customHeight="1" x14ac:dyDescent="0.25">
      <c r="A29" s="34" t="s">
        <v>15</v>
      </c>
      <c r="B29" s="11" t="s">
        <v>16</v>
      </c>
      <c r="C29" s="7"/>
    </row>
    <row r="30" spans="1:3" ht="18.75" customHeight="1" x14ac:dyDescent="0.25">
      <c r="A30" s="34"/>
      <c r="B30" s="11" t="s">
        <v>17</v>
      </c>
      <c r="C30" s="7"/>
    </row>
    <row r="31" spans="1:3" ht="18.75" customHeight="1" x14ac:dyDescent="0.25">
      <c r="A31" s="34"/>
      <c r="B31" s="11" t="s">
        <v>18</v>
      </c>
      <c r="C31" s="7"/>
    </row>
    <row r="32" spans="1:3" x14ac:dyDescent="0.25">
      <c r="A32" s="34"/>
      <c r="B32" s="11" t="s">
        <v>19</v>
      </c>
      <c r="C32" s="7"/>
    </row>
    <row r="33" spans="1:3" x14ac:dyDescent="0.25">
      <c r="C33" s="3"/>
    </row>
    <row r="34" spans="1:3" ht="18" customHeight="1" x14ac:dyDescent="0.25">
      <c r="A34" s="34" t="s">
        <v>30</v>
      </c>
      <c r="B34" s="11" t="s">
        <v>31</v>
      </c>
      <c r="C34" s="7"/>
    </row>
    <row r="35" spans="1:3" ht="18.75" customHeight="1" x14ac:dyDescent="0.25">
      <c r="A35" s="34"/>
      <c r="B35" s="11" t="s">
        <v>32</v>
      </c>
      <c r="C35" s="7"/>
    </row>
    <row r="36" spans="1:3" ht="18.75" customHeight="1" x14ac:dyDescent="0.25">
      <c r="A36" s="34"/>
      <c r="B36" s="11" t="s">
        <v>33</v>
      </c>
      <c r="C36" s="7"/>
    </row>
    <row r="37" spans="1:3" ht="18.75" customHeight="1" x14ac:dyDescent="0.25">
      <c r="A37" s="34"/>
      <c r="B37" s="11" t="s">
        <v>34</v>
      </c>
      <c r="C37" s="7"/>
    </row>
    <row r="38" spans="1:3" x14ac:dyDescent="0.25">
      <c r="A38" s="34"/>
      <c r="B38" s="11" t="s">
        <v>35</v>
      </c>
      <c r="C38" s="7"/>
    </row>
    <row r="39" spans="1:3" x14ac:dyDescent="0.25">
      <c r="A39" s="34"/>
      <c r="B39" s="11" t="s">
        <v>36</v>
      </c>
      <c r="C39" s="7"/>
    </row>
    <row r="40" spans="1:3" ht="18" customHeight="1" x14ac:dyDescent="0.25">
      <c r="A40" s="34"/>
      <c r="B40" s="11" t="s">
        <v>37</v>
      </c>
      <c r="C40" s="7"/>
    </row>
    <row r="41" spans="1:3" ht="18.75" customHeight="1" x14ac:dyDescent="0.25">
      <c r="C41" s="3"/>
    </row>
    <row r="42" spans="1:3" ht="18.75" customHeight="1" x14ac:dyDescent="0.25">
      <c r="A42" s="35" t="s">
        <v>61</v>
      </c>
      <c r="B42" s="11" t="s">
        <v>58</v>
      </c>
      <c r="C42" s="7"/>
    </row>
    <row r="43" spans="1:3" ht="18.75" customHeight="1" x14ac:dyDescent="0.25">
      <c r="A43" s="36"/>
      <c r="B43" s="11" t="s">
        <v>59</v>
      </c>
      <c r="C43" s="7"/>
    </row>
    <row r="44" spans="1:3" ht="18.75" customHeight="1" x14ac:dyDescent="0.25">
      <c r="A44" s="37"/>
      <c r="B44" s="11" t="s">
        <v>60</v>
      </c>
      <c r="C44" s="7"/>
    </row>
    <row r="45" spans="1:3" ht="18.75" customHeight="1" x14ac:dyDescent="0.25">
      <c r="C45" s="3"/>
    </row>
    <row r="46" spans="1:3" ht="18.75" customHeight="1" x14ac:dyDescent="0.25">
      <c r="A46" s="38" t="s">
        <v>65</v>
      </c>
      <c r="B46" s="11" t="s">
        <v>62</v>
      </c>
      <c r="C46" s="7"/>
    </row>
    <row r="47" spans="1:3" x14ac:dyDescent="0.25">
      <c r="A47" s="39"/>
      <c r="B47" s="11" t="s">
        <v>63</v>
      </c>
      <c r="C47" s="7"/>
    </row>
    <row r="48" spans="1:3" x14ac:dyDescent="0.25">
      <c r="A48" s="40"/>
      <c r="B48" s="11" t="s">
        <v>64</v>
      </c>
      <c r="C48" s="7"/>
    </row>
    <row r="49" spans="1:3" ht="18" customHeight="1" x14ac:dyDescent="0.25">
      <c r="C49" s="3"/>
    </row>
    <row r="50" spans="1:3" ht="18.75" customHeight="1" x14ac:dyDescent="0.25">
      <c r="A50" s="34" t="s">
        <v>47</v>
      </c>
      <c r="B50" s="11" t="s">
        <v>44</v>
      </c>
      <c r="C50" s="7"/>
    </row>
    <row r="51" spans="1:3" ht="18.75" customHeight="1" x14ac:dyDescent="0.25">
      <c r="A51" s="34"/>
      <c r="B51" s="11" t="s">
        <v>45</v>
      </c>
      <c r="C51" s="7"/>
    </row>
    <row r="52" spans="1:3" ht="18.75" customHeight="1" x14ac:dyDescent="0.25">
      <c r="A52" s="34"/>
      <c r="B52" s="11" t="s">
        <v>46</v>
      </c>
      <c r="C52" s="7"/>
    </row>
    <row r="53" spans="1:3" ht="18.75" customHeight="1" x14ac:dyDescent="0.25">
      <c r="C53" s="3"/>
    </row>
    <row r="54" spans="1:3" ht="18.75" customHeight="1" x14ac:dyDescent="0.25">
      <c r="A54" s="41" t="s">
        <v>68</v>
      </c>
      <c r="B54" s="13" t="s">
        <v>69</v>
      </c>
      <c r="C54" s="3"/>
    </row>
    <row r="55" spans="1:3" ht="18.75" customHeight="1" x14ac:dyDescent="0.25">
      <c r="A55" s="41"/>
      <c r="B55" s="13" t="s">
        <v>70</v>
      </c>
      <c r="C55" s="9"/>
    </row>
    <row r="56" spans="1:3" ht="18" customHeight="1" x14ac:dyDescent="0.25">
      <c r="A56" s="10"/>
      <c r="C56" s="3"/>
    </row>
    <row r="57" spans="1:3" ht="18.75" customHeight="1" x14ac:dyDescent="0.25">
      <c r="A57" s="34" t="s">
        <v>38</v>
      </c>
      <c r="B57" s="11" t="s">
        <v>39</v>
      </c>
      <c r="C57" s="7"/>
    </row>
    <row r="58" spans="1:3" ht="18.75" customHeight="1" x14ac:dyDescent="0.25">
      <c r="A58" s="34"/>
      <c r="B58" s="11" t="s">
        <v>40</v>
      </c>
      <c r="C58" s="7"/>
    </row>
    <row r="59" spans="1:3" ht="18.75" customHeight="1" x14ac:dyDescent="0.25">
      <c r="A59" s="34"/>
      <c r="B59" s="11" t="s">
        <v>41</v>
      </c>
      <c r="C59" s="7"/>
    </row>
    <row r="60" spans="1:3" ht="18.75" customHeight="1" x14ac:dyDescent="0.25">
      <c r="A60" s="34"/>
      <c r="B60" s="11" t="s">
        <v>42</v>
      </c>
      <c r="C60" s="7"/>
    </row>
    <row r="61" spans="1:3" x14ac:dyDescent="0.25">
      <c r="A61" s="34"/>
      <c r="B61" s="11" t="s">
        <v>43</v>
      </c>
      <c r="C61" s="7"/>
    </row>
    <row r="62" spans="1:3" x14ac:dyDescent="0.25">
      <c r="C62" s="3"/>
    </row>
    <row r="63" spans="1:3" ht="18" customHeight="1" x14ac:dyDescent="0.25">
      <c r="A63" s="34" t="s">
        <v>48</v>
      </c>
      <c r="B63" s="11" t="s">
        <v>49</v>
      </c>
      <c r="C63" s="7"/>
    </row>
    <row r="64" spans="1:3" ht="18.75" customHeight="1" x14ac:dyDescent="0.25">
      <c r="A64" s="34"/>
      <c r="B64" s="11" t="s">
        <v>50</v>
      </c>
      <c r="C64" s="7"/>
    </row>
    <row r="65" spans="1:6" ht="18.75" customHeight="1" x14ac:dyDescent="0.25">
      <c r="A65" s="34"/>
      <c r="B65" s="11" t="s">
        <v>51</v>
      </c>
      <c r="C65" s="7"/>
    </row>
    <row r="66" spans="1:6" ht="18.75" customHeight="1" x14ac:dyDescent="0.25">
      <c r="A66" s="34"/>
      <c r="B66" s="11" t="s">
        <v>52</v>
      </c>
      <c r="C66" s="7"/>
      <c r="F66" s="3"/>
    </row>
    <row r="67" spans="1:6" ht="18.75" customHeight="1" x14ac:dyDescent="0.25">
      <c r="A67" s="34"/>
      <c r="B67" s="11" t="s">
        <v>53</v>
      </c>
      <c r="C67" s="7"/>
    </row>
    <row r="68" spans="1:6" x14ac:dyDescent="0.25">
      <c r="C68" s="3"/>
    </row>
    <row r="69" spans="1:6" x14ac:dyDescent="0.25">
      <c r="A69" s="34" t="s">
        <v>54</v>
      </c>
      <c r="B69" s="11" t="s">
        <v>55</v>
      </c>
      <c r="C69" s="7"/>
    </row>
    <row r="70" spans="1:6" ht="18" customHeight="1" x14ac:dyDescent="0.25">
      <c r="A70" s="34"/>
      <c r="B70" s="11" t="s">
        <v>56</v>
      </c>
      <c r="C70" s="7"/>
    </row>
    <row r="71" spans="1:6" ht="18.75" customHeight="1" x14ac:dyDescent="0.25">
      <c r="A71" s="34"/>
      <c r="B71" s="11" t="s">
        <v>57</v>
      </c>
      <c r="C71" s="7"/>
    </row>
    <row r="72" spans="1:6" ht="18.75" customHeight="1" x14ac:dyDescent="0.25"/>
    <row r="75" spans="1:6" ht="18" customHeight="1" x14ac:dyDescent="0.25"/>
    <row r="76" spans="1:6" ht="18.75" customHeight="1" x14ac:dyDescent="0.25"/>
    <row r="77" spans="1:6" ht="18.75" customHeight="1" x14ac:dyDescent="0.25"/>
    <row r="79" spans="1:6" x14ac:dyDescent="0.25">
      <c r="D79" s="8"/>
    </row>
    <row r="80" spans="1:6" ht="18" customHeight="1" x14ac:dyDescent="0.25"/>
    <row r="81" ht="18.75" customHeight="1" x14ac:dyDescent="0.25"/>
    <row r="82" ht="18.75" customHeight="1" x14ac:dyDescent="0.25"/>
  </sheetData>
  <mergeCells count="15">
    <mergeCell ref="A69:A71"/>
    <mergeCell ref="A29:A32"/>
    <mergeCell ref="A34:A40"/>
    <mergeCell ref="A2:A5"/>
    <mergeCell ref="A63:A67"/>
    <mergeCell ref="A42:A44"/>
    <mergeCell ref="A46:A48"/>
    <mergeCell ref="A50:A52"/>
    <mergeCell ref="A54:A55"/>
    <mergeCell ref="A57:A61"/>
    <mergeCell ref="A6:B6"/>
    <mergeCell ref="A7:A11"/>
    <mergeCell ref="A13:A16"/>
    <mergeCell ref="A18:A21"/>
    <mergeCell ref="A23:A27"/>
  </mergeCells>
  <hyperlinks>
    <hyperlink ref="B2" r:id="rId1" tooltip="الجزائر الوسطى" display="https://www.marefa.org/%D8%A7%D9%84%D8%AC%D8%B2%D8%A7%D8%A6%D8%B1_%D8%A7%D9%84%D9%88%D8%B3%D8%B7%D9%89" xr:uid="{00000000-0004-0000-0000-000000000000}"/>
    <hyperlink ref="B3" r:id="rId2" tooltip="سيدي امحمد" display="https://www.marefa.org/%D8%B3%D9%8A%D8%AF%D9%8A_%D8%A7%D9%85%D8%AD%D9%85%D8%AF" xr:uid="{00000000-0004-0000-0000-000001000000}"/>
    <hyperlink ref="B4" r:id="rId3" tooltip="المدنية (الصفحة غير موجودة)" display="https://www.marefa.org/index.php?title=%D8%A7%D9%84%D9%85%D8%AF%D9%86%D9%8A%D8%A9&amp;action=edit&amp;redlink=1" xr:uid="{00000000-0004-0000-0000-000002000000}"/>
    <hyperlink ref="B5" r:id="rId4" tooltip="المرادية" display="https://www.marefa.org/%D8%A7%D9%84%D9%85%D8%B1%D8%A7%D8%AF%D9%8A%D8%A9" xr:uid="{00000000-0004-0000-0000-000003000000}"/>
    <hyperlink ref="B7" r:id="rId5" tooltip="باب الواد (بلدية)" display="https://www.marefa.org/%D8%A8%D8%A7%D8%A8_%D8%A7%D9%84%D9%88%D8%A7%D8%AF_(%D8%A8%D9%84%D8%AF%D9%8A%D8%A9)" xr:uid="{00000000-0004-0000-0000-000004000000}"/>
    <hyperlink ref="B8" r:id="rId6" tooltip="القصبة" display="https://www.marefa.org/%D8%A7%D9%84%D9%82%D8%B5%D8%A8%D8%A9" xr:uid="{00000000-0004-0000-0000-000005000000}"/>
    <hyperlink ref="B9" r:id="rId7" tooltip="بولوغين (الصفحة غير موجودة)" display="https://www.marefa.org/index.php?title=%D8%A8%D9%88%D9%84%D9%88%D8%BA%D9%8A%D9%86&amp;action=edit&amp;redlink=1" xr:uid="{00000000-0004-0000-0000-000006000000}"/>
    <hyperlink ref="B10" r:id="rId8" tooltip="واد قريش" display="https://www.marefa.org/%D9%88%D8%A7%D8%AF_%D9%82%D8%B1%D9%8A%D8%B4" xr:uid="{00000000-0004-0000-0000-000007000000}"/>
    <hyperlink ref="B11" r:id="rId9" tooltip="رايس حميدو (الصفحة غير موجودة)" display="https://www.marefa.org/index.php?title=%D8%B1%D8%A7%D9%8A%D8%B3_%D8%AD%D9%85%D9%8A%D8%AF%D9%88&amp;action=edit&amp;redlink=1" xr:uid="{00000000-0004-0000-0000-000008000000}"/>
    <hyperlink ref="B13" r:id="rId10" tooltip="بلدية المقارية" display="https://www.marefa.org/%D8%A8%D9%84%D8%AF%D9%8A%D8%A9_%D8%A7%D9%84%D9%85%D9%82%D8%A7%D8%B1%D9%8A%D8%A9" xr:uid="{00000000-0004-0000-0000-000009000000}"/>
    <hyperlink ref="B15" r:id="rId11" tooltip="حسين داي (الصفحة غير موجودة)" display="https://www.marefa.org/index.php?title=%D8%AD%D8%B3%D9%8A%D9%86_%D8%AF%D8%A7%D9%8A&amp;action=edit&amp;redlink=1" xr:uid="{00000000-0004-0000-0000-00000A000000}"/>
    <hyperlink ref="B16" r:id="rId12" tooltip="القبة" display="https://www.marefa.org/%D8%A7%D9%84%D9%82%D8%A8%D8%A9" xr:uid="{00000000-0004-0000-0000-00000B000000}"/>
    <hyperlink ref="B18" r:id="rId13" tooltip="باش جراح (الصفحة غير موجودة)" display="https://www.marefa.org/index.php?title=%D8%A8%D8%A7%D8%B4_%D8%AC%D8%B1%D8%A7%D8%AD&amp;action=edit&amp;redlink=1" xr:uid="{00000000-0004-0000-0000-00000C000000}"/>
    <hyperlink ref="B19" r:id="rId14" tooltip="بوروبة (الصفحة غير موجودة)" display="https://www.marefa.org/index.php?title=%D8%A8%D9%88%D8%B1%D9%88%D8%A8%D8%A9&amp;action=edit&amp;redlink=1" xr:uid="{00000000-0004-0000-0000-00000D000000}"/>
    <hyperlink ref="B20" r:id="rId15" tooltip="الحراش (الصفحة غير موجودة)" display="https://www.marefa.org/index.php?title=%D8%A7%D9%84%D8%AD%D8%B1%D8%A7%D8%B4&amp;action=edit&amp;redlink=1" xr:uid="{00000000-0004-0000-0000-00000E000000}"/>
    <hyperlink ref="B21" r:id="rId16" tooltip="وادي السمار (الصفحة غير موجودة)" display="https://www.marefa.org/index.php?title=%D9%88%D8%A7%D8%AF%D9%8A_%D8%A7%D9%84%D8%B3%D9%85%D8%A7%D8%B1&amp;action=edit&amp;redlink=1" xr:uid="{00000000-0004-0000-0000-00000F000000}"/>
    <hyperlink ref="B23" r:id="rId17" tooltip="بئر مراد رايس" display="https://www.marefa.org/%D8%A8%D8%A6%D8%B1_%D9%85%D8%B1%D8%A7%D8%AF_%D8%B1%D8%A7%D9%8A%D8%B3" xr:uid="{00000000-0004-0000-0000-000010000000}"/>
    <hyperlink ref="B24" r:id="rId18" tooltip="بلدية بئر خادم" display="https://www.marefa.org/%D8%A8%D9%84%D8%AF%D9%8A%D8%A9_%D8%A8%D8%A6%D8%B1_%D8%AE%D8%A7%D8%AF%D9%85" xr:uid="{00000000-0004-0000-0000-000011000000}"/>
    <hyperlink ref="B25" r:id="rId19" tooltip="جسر قسنطينة" display="https://www.marefa.org/%D8%AC%D8%B3%D8%B1_%D9%82%D8%B3%D9%86%D8%B7%D9%8A%D9%86%D8%A9" xr:uid="{00000000-0004-0000-0000-000012000000}"/>
    <hyperlink ref="B26" r:id="rId20" tooltip="حيدرة" display="https://www.marefa.org/%D8%AD%D9%8A%D8%AF%D8%B1%D8%A9" xr:uid="{00000000-0004-0000-0000-000013000000}"/>
    <hyperlink ref="B27" r:id="rId21" tooltip="بلدية سحاولة (الصفحة غير موجودة)" display="https://www.marefa.org/index.php?title=%D8%A8%D9%84%D8%AF%D9%8A%D8%A9_%D8%B3%D8%AD%D8%A7%D9%88%D9%84%D8%A9&amp;action=edit&amp;redlink=1" xr:uid="{00000000-0004-0000-0000-000014000000}"/>
    <hyperlink ref="B29" r:id="rId22" tooltip="بن عكنون" display="https://www.marefa.org/%D8%A8%D9%86_%D8%B9%D9%83%D9%86%D9%88%D9%86" xr:uid="{00000000-0004-0000-0000-000015000000}"/>
    <hyperlink ref="B30" r:id="rId23" tooltip="بني مسوس" display="https://www.marefa.org/%D8%A8%D9%86%D9%8A_%D9%85%D8%B3%D9%88%D8%B3" xr:uid="{00000000-0004-0000-0000-000016000000}"/>
    <hyperlink ref="B31" r:id="rId24" tooltip="بوزريعة" display="https://www.marefa.org/%D8%A8%D9%88%D8%B2%D8%B1%D9%8A%D8%B9%D8%A9" xr:uid="{00000000-0004-0000-0000-000017000000}"/>
    <hyperlink ref="B32" r:id="rId25" tooltip="الأبيار" display="https://www.marefa.org/%D8%A7%D9%84%D8%A3%D8%A8%D9%8A%D8%A7%D8%B1" xr:uid="{00000000-0004-0000-0000-000018000000}"/>
    <hyperlink ref="B34" r:id="rId26" tooltip="عين طاية (الصفحة غير موجودة)" display="https://www.marefa.org/index.php?title=%D8%B9%D9%8A%D9%86_%D8%B7%D8%A7%D9%8A%D8%A9&amp;action=edit&amp;redlink=1" xr:uid="{00000000-0004-0000-0000-000019000000}"/>
    <hyperlink ref="B35" r:id="rId27" tooltip="باب الزوار (الصفحة غير موجودة)" display="https://www.marefa.org/index.php?title=%D8%A8%D8%A7%D8%A8_%D8%A7%D9%84%D8%B2%D9%88%D8%A7%D8%B1&amp;action=edit&amp;redlink=1" xr:uid="{00000000-0004-0000-0000-00001A000000}"/>
    <hyperlink ref="B36" r:id="rId28" tooltip="برج البحري" display="https://www.marefa.org/%D8%A8%D8%B1%D8%AC_%D8%A7%D9%84%D8%A8%D8%AD%D8%B1%D9%8A" xr:uid="{00000000-0004-0000-0000-00001B000000}"/>
    <hyperlink ref="B37" r:id="rId29" tooltip="برج الكيفان" display="https://www.marefa.org/%D8%A8%D8%B1%D8%AC_%D8%A7%D9%84%D9%83%D9%8A%D9%81%D8%A7%D9%86" xr:uid="{00000000-0004-0000-0000-00001C000000}"/>
    <hyperlink ref="B38" r:id="rId30" tooltip="بلدية الدار البيضاء (الجزائر)" display="https://www.marefa.org/%D8%A8%D9%84%D8%AF%D9%8A%D8%A9_%D8%A7%D9%84%D8%AF%D8%A7%D8%B1_%D8%A7%D9%84%D8%A8%D9%8A%D8%B6%D8%A7%D8%A1_(%D8%A7%D9%84%D8%AC%D8%B2%D8%A7%D8%A6%D8%B1)" xr:uid="{00000000-0004-0000-0000-00001D000000}"/>
    <hyperlink ref="B39" r:id="rId31" tooltip="بلدية المرسى" display="https://www.marefa.org/%D8%A8%D9%84%D8%AF%D9%8A%D8%A9_%D8%A7%D9%84%D9%85%D8%B1%D8%B3%D9%89" xr:uid="{00000000-0004-0000-0000-00001E000000}"/>
    <hyperlink ref="B40" r:id="rId32" tooltip="بلدية المحمدية(الجزائر)" display="https://www.marefa.org/%D8%A8%D9%84%D8%AF%D9%8A%D8%A9_%D8%A7%D9%84%D9%85%D8%AD%D9%85%D8%AF%D9%8A%D8%A9(%D8%A7%D9%84%D8%AC%D8%B2%D8%A7%D8%A6%D8%B1)" xr:uid="{00000000-0004-0000-0000-00001F000000}"/>
    <hyperlink ref="B42" r:id="rId33" tooltip="براقي (الصفحة غير موجودة)" display="https://www.marefa.org/index.php?title=%D8%A8%D8%B1%D8%A7%D9%82%D9%8A&amp;action=edit&amp;redlink=1" xr:uid="{00000000-0004-0000-0000-000020000000}"/>
    <hyperlink ref="B43" r:id="rId34" tooltip="الكاليتوس (الصفحة غير موجودة)" display="https://www.marefa.org/index.php?title=%D8%A7%D9%84%D9%83%D8%A7%D9%84%D9%8A%D8%AA%D9%88%D8%B3&amp;action=edit&amp;redlink=1" xr:uid="{00000000-0004-0000-0000-000021000000}"/>
    <hyperlink ref="B44" r:id="rId35" tooltip="سيدي موسى (الصفحة غير موجودة)" display="https://www.marefa.org/index.php?title=%D8%B3%D9%8A%D8%AF%D9%8A_%D9%85%D9%88%D8%B3%D9%89&amp;action=edit&amp;redlink=1" xr:uid="{00000000-0004-0000-0000-000022000000}"/>
    <hyperlink ref="B46" r:id="rId36" tooltip="هراوة (الصفحة غير موجودة)" display="https://www.marefa.org/index.php?title=%D9%87%D8%B1%D8%A7%D9%88%D8%A9&amp;action=edit&amp;redlink=1" xr:uid="{00000000-0004-0000-0000-000023000000}"/>
    <hyperlink ref="B47" r:id="rId37" tooltip="الرغاية (الصفحة غير موجودة)" display="https://www.marefa.org/index.php?title=%D8%A7%D9%84%D8%B1%D8%BA%D8%A7%D9%8A%D8%A9&amp;action=edit&amp;redlink=1" xr:uid="{00000000-0004-0000-0000-000024000000}"/>
    <hyperlink ref="B48" r:id="rId38" tooltip="الرويبة (الصفحة غير موجودة)" display="https://www.marefa.org/index.php?title=%D8%A7%D9%84%D8%B1%D9%88%D9%8A%D8%A8%D8%A9&amp;action=edit&amp;redlink=1" xr:uid="{00000000-0004-0000-0000-000025000000}"/>
    <hyperlink ref="B50" r:id="rId39" tooltip="السويدانية (الصفحة غير موجودة)" display="https://www.marefa.org/index.php?title=%D8%A7%D9%84%D8%B3%D9%88%D9%8A%D8%AF%D8%A7%D9%86%D9%8A%D8%A9&amp;action=edit&amp;redlink=1" xr:uid="{00000000-0004-0000-0000-000026000000}"/>
    <hyperlink ref="B51" r:id="rId40" tooltip="سطاوالي" display="https://www.marefa.org/%D8%B3%D8%B7%D8%A7%D9%88%D8%A7%D9%84%D9%8A" xr:uid="{00000000-0004-0000-0000-000027000000}"/>
    <hyperlink ref="B52" r:id="rId41" tooltip="زرالدة" display="https://www.marefa.org/%D8%B2%D8%B1%D8%A7%D9%84%D8%AF%D8%A9" xr:uid="{00000000-0004-0000-0000-000028000000}"/>
    <hyperlink ref="B57" r:id="rId42" tooltip="عين البنيان (الصفحة غير موجودة)" display="https://www.marefa.org/index.php?title=%D8%B9%D9%8A%D9%86_%D8%A7%D9%84%D8%A8%D9%86%D9%8A%D8%A7%D9%86&amp;action=edit&amp;redlink=1" xr:uid="{00000000-0004-0000-0000-000029000000}"/>
    <hyperlink ref="B58" r:id="rId43" tooltip="الشراقة (الصفحة غير موجودة)" display="https://www.marefa.org/index.php?title=%D8%A7%D9%84%D8%B4%D8%B1%D8%A7%D9%82%D8%A9&amp;action=edit&amp;redlink=1" xr:uid="{00000000-0004-0000-0000-00002A000000}"/>
    <hyperlink ref="B59" r:id="rId44" tooltip="دالي ابراهيم (الصفحة غير موجودة)" display="https://www.marefa.org/index.php?title=%D8%AF%D8%A7%D9%84%D9%8A_%D8%A7%D8%A8%D8%B1%D8%A7%D9%87%D9%8A%D9%85&amp;action=edit&amp;redlink=1" xr:uid="{00000000-0004-0000-0000-00002B000000}"/>
    <hyperlink ref="B60" r:id="rId45" tooltip="أولاد فايت (الصفحة غير موجودة)" display="https://www.marefa.org/index.php?title=%D8%A3%D9%88%D9%84%D8%A7%D8%AF_%D9%81%D8%A7%D9%8A%D8%AA&amp;action=edit&amp;redlink=1" xr:uid="{00000000-0004-0000-0000-00002C000000}"/>
    <hyperlink ref="B61" r:id="rId46" tooltip="بلدية الحمامات (الجزائر)" display="https://www.marefa.org/%D8%A8%D9%84%D8%AF%D9%8A%D8%A9_%D8%A7%D9%84%D8%AD%D9%85%D8%A7%D9%85%D8%A7%D8%AA_(%D8%A7%D9%84%D8%AC%D8%B2%D8%A7%D8%A6%D8%B1)" xr:uid="{00000000-0004-0000-0000-00002D000000}"/>
    <hyperlink ref="B63" r:id="rId47" tooltip="بابا حسن (الصفحة غير موجودة)" display="https://www.marefa.org/index.php?title=%D8%A8%D8%A7%D8%A8%D8%A7_%D8%AD%D8%B3%D9%86&amp;action=edit&amp;redlink=1" xr:uid="{00000000-0004-0000-0000-00002E000000}"/>
    <hyperlink ref="B64" r:id="rId48" tooltip="دويرة (الصفحة غير موجودة)" display="https://www.marefa.org/index.php?title=%D8%AF%D9%88%D9%8A%D8%B1%D8%A9&amp;action=edit&amp;redlink=1" xr:uid="{00000000-0004-0000-0000-00002F000000}"/>
    <hyperlink ref="B65" r:id="rId49" tooltip="الدرارية (الصفحة غير موجودة)" display="https://www.marefa.org/index.php?title=%D8%A7%D9%84%D8%AF%D8%B1%D8%A7%D8%B1%D9%8A%D8%A9&amp;action=edit&amp;redlink=1" xr:uid="{00000000-0004-0000-0000-000030000000}"/>
    <hyperlink ref="B66" r:id="rId50" tooltip="العاشور (الصفحة غير موجودة)" display="https://www.marefa.org/index.php?title=%D8%A7%D9%84%D8%B9%D8%A7%D8%B4%D9%88%D8%B1&amp;action=edit&amp;redlink=1" xr:uid="{00000000-0004-0000-0000-000031000000}"/>
    <hyperlink ref="B67" r:id="rId51" tooltip="خرايسية (الصفحة غير موجودة)" display="https://www.marefa.org/index.php?title=%D8%AE%D8%B1%D8%A7%D9%8A%D8%B3%D9%8A%D8%A9&amp;action=edit&amp;redlink=1" xr:uid="{00000000-0004-0000-0000-000032000000}"/>
    <hyperlink ref="B69" r:id="rId52" tooltip="بئر توتة (الصفحة غير موجودة)" display="https://www.marefa.org/index.php?title=%D8%A8%D8%A6%D8%B1_%D8%AA%D9%88%D8%AA%D8%A9&amp;action=edit&amp;redlink=1" xr:uid="{00000000-0004-0000-0000-000033000000}"/>
    <hyperlink ref="B70" r:id="rId53" tooltip="أولاد شبل (الصفحة غير موجودة)" display="https://www.marefa.org/index.php?title=%D8%A3%D9%88%D9%84%D8%A7%D8%AF_%D8%B4%D8%A8%D9%84&amp;action=edit&amp;redlink=1" xr:uid="{00000000-0004-0000-0000-000034000000}"/>
    <hyperlink ref="B71" r:id="rId54" tooltip="تسالة المرجة" display="https://www.marefa.org/%D8%AA%D8%B3%D8%A7%D9%84%D8%A9_%D8%A7%D9%84%D9%85%D8%B1%D8%AC%D8%A9" xr:uid="{00000000-0004-0000-0000-000035000000}"/>
  </hyperlinks>
  <pageMargins left="0.7" right="0.7" top="0.75" bottom="0.75" header="0.3" footer="0.3"/>
  <pageSetup paperSize="9" orientation="portrait" horizontalDpi="4294967293" verticalDpi="0" r:id="rId5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76"/>
  <sheetViews>
    <sheetView rightToLeft="1" workbookViewId="0">
      <selection activeCell="L16" sqref="L16"/>
    </sheetView>
  </sheetViews>
  <sheetFormatPr baseColWidth="10" defaultRowHeight="15" x14ac:dyDescent="0.25"/>
  <cols>
    <col min="1" max="1" width="17.7109375" bestFit="1" customWidth="1"/>
    <col min="2" max="2" width="28" customWidth="1"/>
    <col min="3" max="3" width="17.7109375" customWidth="1"/>
    <col min="4" max="4" width="23.5703125" customWidth="1"/>
    <col min="5" max="8" width="11.42578125" customWidth="1"/>
  </cols>
  <sheetData>
    <row r="2" spans="1:7" ht="33.75" customHeight="1" x14ac:dyDescent="0.25">
      <c r="A2" s="51" t="s">
        <v>72</v>
      </c>
      <c r="B2" s="51" t="s">
        <v>73</v>
      </c>
      <c r="C2" s="51" t="s">
        <v>74</v>
      </c>
      <c r="D2" s="51" t="s">
        <v>75</v>
      </c>
      <c r="E2" s="48" t="s">
        <v>76</v>
      </c>
      <c r="F2" s="49"/>
      <c r="G2" s="50"/>
    </row>
    <row r="3" spans="1:7" ht="23.25" customHeight="1" x14ac:dyDescent="0.25">
      <c r="A3" s="52"/>
      <c r="B3" s="52"/>
      <c r="C3" s="52"/>
      <c r="D3" s="52"/>
      <c r="E3" s="16" t="s">
        <v>77</v>
      </c>
      <c r="F3" s="16" t="s">
        <v>78</v>
      </c>
      <c r="G3" s="16" t="s">
        <v>79</v>
      </c>
    </row>
    <row r="4" spans="1:7" ht="18.75" customHeight="1" x14ac:dyDescent="0.3">
      <c r="A4" s="34" t="s">
        <v>4</v>
      </c>
      <c r="B4" s="14" t="s">
        <v>0</v>
      </c>
      <c r="C4" s="17">
        <v>50745</v>
      </c>
      <c r="D4" s="19">
        <v>22</v>
      </c>
      <c r="E4" s="19">
        <v>107</v>
      </c>
      <c r="F4" s="19">
        <v>86</v>
      </c>
      <c r="G4" s="19">
        <v>193</v>
      </c>
    </row>
    <row r="5" spans="1:7" ht="18.75" x14ac:dyDescent="0.3">
      <c r="A5" s="34"/>
      <c r="B5" s="14" t="s">
        <v>1</v>
      </c>
      <c r="C5" s="17">
        <v>55737</v>
      </c>
      <c r="D5" s="19">
        <v>21</v>
      </c>
      <c r="E5" s="19">
        <v>111</v>
      </c>
      <c r="F5" s="19">
        <v>93</v>
      </c>
      <c r="G5" s="19">
        <v>204</v>
      </c>
    </row>
    <row r="6" spans="1:7" ht="18.75" x14ac:dyDescent="0.3">
      <c r="A6" s="34"/>
      <c r="B6" s="14" t="s">
        <v>2</v>
      </c>
      <c r="C6" s="17">
        <v>21809</v>
      </c>
      <c r="D6" s="19">
        <v>8</v>
      </c>
      <c r="E6" s="19">
        <v>39</v>
      </c>
      <c r="F6" s="19">
        <v>32</v>
      </c>
      <c r="G6" s="19">
        <v>71</v>
      </c>
    </row>
    <row r="7" spans="1:7" ht="18.75" x14ac:dyDescent="0.3">
      <c r="A7" s="34"/>
      <c r="B7" s="14" t="s">
        <v>3</v>
      </c>
      <c r="C7" s="17">
        <v>18738</v>
      </c>
      <c r="D7" s="19">
        <v>6</v>
      </c>
      <c r="E7" s="19">
        <v>37</v>
      </c>
      <c r="F7" s="19">
        <v>29</v>
      </c>
      <c r="G7" s="19">
        <v>66</v>
      </c>
    </row>
    <row r="8" spans="1:7" ht="18.75" x14ac:dyDescent="0.3">
      <c r="A8" s="46" t="s">
        <v>71</v>
      </c>
      <c r="B8" s="47"/>
      <c r="C8" s="21">
        <f>SUM(C4:C7)</f>
        <v>147029</v>
      </c>
      <c r="D8" s="22">
        <f>SUM(D4:D7)</f>
        <v>57</v>
      </c>
      <c r="E8" s="22">
        <f>SUM(E4:E7)</f>
        <v>294</v>
      </c>
      <c r="F8" s="22">
        <f>SUM(F4:F7)</f>
        <v>240</v>
      </c>
      <c r="G8" s="22">
        <f>SUM(G4:G7)</f>
        <v>534</v>
      </c>
    </row>
    <row r="9" spans="1:7" ht="18.75" x14ac:dyDescent="0.3">
      <c r="A9" s="44" t="s">
        <v>5</v>
      </c>
      <c r="B9" s="14" t="s">
        <v>6</v>
      </c>
      <c r="C9" s="18">
        <v>39716</v>
      </c>
      <c r="D9" s="19">
        <v>13</v>
      </c>
      <c r="E9" s="19">
        <v>56</v>
      </c>
      <c r="F9" s="19">
        <v>46</v>
      </c>
      <c r="G9" s="19">
        <v>102</v>
      </c>
    </row>
    <row r="10" spans="1:7" ht="18.75" x14ac:dyDescent="0.3">
      <c r="A10" s="44"/>
      <c r="B10" s="14" t="s">
        <v>7</v>
      </c>
      <c r="C10" s="18">
        <v>24583</v>
      </c>
      <c r="D10" s="19">
        <v>8</v>
      </c>
      <c r="E10" s="19">
        <v>53</v>
      </c>
      <c r="F10" s="19">
        <v>42</v>
      </c>
      <c r="G10" s="19">
        <v>95</v>
      </c>
    </row>
    <row r="11" spans="1:7" ht="18.75" x14ac:dyDescent="0.3">
      <c r="A11" s="44"/>
      <c r="B11" s="14" t="s">
        <v>8</v>
      </c>
      <c r="C11" s="18">
        <v>24140</v>
      </c>
      <c r="D11" s="19">
        <v>11</v>
      </c>
      <c r="E11" s="19">
        <v>44</v>
      </c>
      <c r="F11" s="19">
        <v>34</v>
      </c>
      <c r="G11" s="19">
        <v>78</v>
      </c>
    </row>
    <row r="12" spans="1:7" ht="18.75" x14ac:dyDescent="0.3">
      <c r="A12" s="44"/>
      <c r="B12" s="14" t="s">
        <v>9</v>
      </c>
      <c r="C12" s="18">
        <v>32517</v>
      </c>
      <c r="D12" s="19">
        <v>14</v>
      </c>
      <c r="E12" s="19">
        <v>63</v>
      </c>
      <c r="F12" s="19">
        <v>48</v>
      </c>
      <c r="G12" s="19">
        <v>111</v>
      </c>
    </row>
    <row r="13" spans="1:7" ht="18.75" x14ac:dyDescent="0.3">
      <c r="A13" s="44"/>
      <c r="B13" s="14" t="s">
        <v>10</v>
      </c>
      <c r="C13" s="18">
        <v>16111</v>
      </c>
      <c r="D13" s="19">
        <v>7</v>
      </c>
      <c r="E13" s="19">
        <v>27</v>
      </c>
      <c r="F13" s="19">
        <v>20</v>
      </c>
      <c r="G13" s="19">
        <v>47</v>
      </c>
    </row>
    <row r="14" spans="1:7" ht="18.75" x14ac:dyDescent="0.3">
      <c r="A14" s="46" t="s">
        <v>71</v>
      </c>
      <c r="B14" s="47"/>
      <c r="C14" s="23">
        <f>SUM(C9:C13)</f>
        <v>137067</v>
      </c>
      <c r="D14" s="22">
        <f>SUM(D9:D13)</f>
        <v>53</v>
      </c>
      <c r="E14" s="22">
        <f>SUM(E9:E13)</f>
        <v>243</v>
      </c>
      <c r="F14" s="22">
        <f>SUM(F9:F13)</f>
        <v>190</v>
      </c>
      <c r="G14" s="22">
        <f>SUM(G9:G13)</f>
        <v>433</v>
      </c>
    </row>
    <row r="15" spans="1:7" ht="18.75" x14ac:dyDescent="0.3">
      <c r="A15" s="34" t="s">
        <v>11</v>
      </c>
      <c r="B15" s="14" t="s">
        <v>12</v>
      </c>
      <c r="C15" s="20">
        <v>14221</v>
      </c>
      <c r="D15" s="19">
        <v>6</v>
      </c>
      <c r="E15" s="19">
        <v>27</v>
      </c>
      <c r="F15" s="19">
        <v>25</v>
      </c>
      <c r="G15" s="19">
        <v>52</v>
      </c>
    </row>
    <row r="16" spans="1:7" ht="18" customHeight="1" x14ac:dyDescent="0.3">
      <c r="A16" s="34"/>
      <c r="B16" s="12" t="s">
        <v>66</v>
      </c>
      <c r="C16" s="20">
        <v>24700</v>
      </c>
      <c r="D16" s="19">
        <v>15</v>
      </c>
      <c r="E16" s="19">
        <v>59</v>
      </c>
      <c r="F16" s="19">
        <v>48</v>
      </c>
      <c r="G16" s="19">
        <v>107</v>
      </c>
    </row>
    <row r="17" spans="1:7" ht="18.75" x14ac:dyDescent="0.3">
      <c r="A17" s="34"/>
      <c r="B17" s="14" t="s">
        <v>13</v>
      </c>
      <c r="C17" s="20">
        <v>27002</v>
      </c>
      <c r="D17" s="19">
        <v>11</v>
      </c>
      <c r="E17" s="19">
        <v>53</v>
      </c>
      <c r="F17" s="19">
        <v>47</v>
      </c>
      <c r="G17" s="19">
        <v>100</v>
      </c>
    </row>
    <row r="18" spans="1:7" ht="18.75" x14ac:dyDescent="0.3">
      <c r="A18" s="34"/>
      <c r="B18" s="14" t="s">
        <v>14</v>
      </c>
      <c r="C18" s="20">
        <v>59340</v>
      </c>
      <c r="D18" s="19">
        <v>19</v>
      </c>
      <c r="E18" s="19">
        <v>108</v>
      </c>
      <c r="F18" s="19">
        <v>87</v>
      </c>
      <c r="G18" s="19">
        <v>195</v>
      </c>
    </row>
    <row r="19" spans="1:7" ht="18.75" x14ac:dyDescent="0.3">
      <c r="A19" s="46" t="s">
        <v>71</v>
      </c>
      <c r="B19" s="47"/>
      <c r="C19" s="22">
        <f>SUM(C15:C18)</f>
        <v>125263</v>
      </c>
      <c r="D19" s="22">
        <f>SUM(D15:D18)</f>
        <v>51</v>
      </c>
      <c r="E19" s="22">
        <f>SUM(E15:E18)</f>
        <v>247</v>
      </c>
      <c r="F19" s="22">
        <f>SUM(F15:F18)</f>
        <v>207</v>
      </c>
      <c r="G19" s="22">
        <f>SUM(G15:G18)</f>
        <v>454</v>
      </c>
    </row>
    <row r="20" spans="1:7" ht="18.75" x14ac:dyDescent="0.3">
      <c r="A20" s="34" t="s">
        <v>67</v>
      </c>
      <c r="B20" s="14" t="s">
        <v>26</v>
      </c>
      <c r="C20" s="20">
        <v>43325</v>
      </c>
      <c r="D20" s="19">
        <v>16</v>
      </c>
      <c r="E20" s="19">
        <v>84</v>
      </c>
      <c r="F20" s="19">
        <v>72</v>
      </c>
      <c r="G20" s="19">
        <v>156</v>
      </c>
    </row>
    <row r="21" spans="1:7" ht="18.75" x14ac:dyDescent="0.3">
      <c r="A21" s="34"/>
      <c r="B21" s="14" t="s">
        <v>27</v>
      </c>
      <c r="C21" s="20">
        <v>49146</v>
      </c>
      <c r="D21" s="19">
        <v>17</v>
      </c>
      <c r="E21" s="19">
        <v>84</v>
      </c>
      <c r="F21" s="19">
        <v>71</v>
      </c>
      <c r="G21" s="19">
        <v>155</v>
      </c>
    </row>
    <row r="22" spans="1:7" ht="18.75" x14ac:dyDescent="0.3">
      <c r="A22" s="34"/>
      <c r="B22" s="14" t="s">
        <v>28</v>
      </c>
      <c r="C22" s="20">
        <v>49461</v>
      </c>
      <c r="D22" s="19">
        <v>14</v>
      </c>
      <c r="E22" s="19">
        <v>76</v>
      </c>
      <c r="F22" s="19">
        <v>54</v>
      </c>
      <c r="G22" s="19">
        <v>130</v>
      </c>
    </row>
    <row r="23" spans="1:7" ht="18.75" x14ac:dyDescent="0.3">
      <c r="A23" s="34"/>
      <c r="B23" s="14" t="s">
        <v>29</v>
      </c>
      <c r="C23" s="20">
        <v>17625</v>
      </c>
      <c r="D23" s="19">
        <v>7</v>
      </c>
      <c r="E23" s="19">
        <v>28</v>
      </c>
      <c r="F23" s="19">
        <v>21</v>
      </c>
      <c r="G23" s="19">
        <v>49</v>
      </c>
    </row>
    <row r="24" spans="1:7" ht="18.75" x14ac:dyDescent="0.3">
      <c r="A24" s="46" t="s">
        <v>71</v>
      </c>
      <c r="B24" s="47"/>
      <c r="C24" s="22">
        <f>SUM(C20:C23)</f>
        <v>159557</v>
      </c>
      <c r="D24" s="22">
        <f>SUM(D20:D23)</f>
        <v>54</v>
      </c>
      <c r="E24" s="22">
        <f>SUM(E20:E23)</f>
        <v>272</v>
      </c>
      <c r="F24" s="22">
        <f>SUM(F20:F23)</f>
        <v>218</v>
      </c>
      <c r="G24" s="22">
        <f>SUM(G20:G23)</f>
        <v>490</v>
      </c>
    </row>
    <row r="25" spans="1:7" ht="18.75" x14ac:dyDescent="0.3">
      <c r="A25" s="44" t="s">
        <v>20</v>
      </c>
      <c r="B25" s="14" t="s">
        <v>21</v>
      </c>
      <c r="C25" s="20">
        <v>31249</v>
      </c>
      <c r="D25" s="19">
        <v>9</v>
      </c>
      <c r="E25" s="19">
        <v>50</v>
      </c>
      <c r="F25" s="19">
        <v>37</v>
      </c>
      <c r="G25" s="19">
        <v>87</v>
      </c>
    </row>
    <row r="26" spans="1:7" ht="18.75" x14ac:dyDescent="0.3">
      <c r="A26" s="44"/>
      <c r="B26" s="14" t="s">
        <v>22</v>
      </c>
      <c r="C26" s="20">
        <v>44573</v>
      </c>
      <c r="D26" s="19">
        <v>17</v>
      </c>
      <c r="E26" s="19">
        <v>53</v>
      </c>
      <c r="F26" s="19">
        <v>49</v>
      </c>
      <c r="G26" s="19">
        <v>102</v>
      </c>
    </row>
    <row r="27" spans="1:7" ht="18.75" x14ac:dyDescent="0.3">
      <c r="A27" s="44"/>
      <c r="B27" s="14" t="s">
        <v>23</v>
      </c>
      <c r="C27" s="20">
        <v>49037</v>
      </c>
      <c r="D27" s="19">
        <v>15</v>
      </c>
      <c r="E27" s="19">
        <v>63</v>
      </c>
      <c r="F27" s="19">
        <v>54</v>
      </c>
      <c r="G27" s="19">
        <v>117</v>
      </c>
    </row>
    <row r="28" spans="1:7" ht="18.75" x14ac:dyDescent="0.3">
      <c r="A28" s="44"/>
      <c r="B28" s="14" t="s">
        <v>24</v>
      </c>
      <c r="C28" s="20">
        <v>24617</v>
      </c>
      <c r="D28" s="19">
        <v>6</v>
      </c>
      <c r="E28" s="19">
        <v>44</v>
      </c>
      <c r="F28" s="19">
        <v>32</v>
      </c>
      <c r="G28" s="19">
        <v>76</v>
      </c>
    </row>
    <row r="29" spans="1:7" ht="18.75" x14ac:dyDescent="0.3">
      <c r="A29" s="44"/>
      <c r="B29" s="14" t="s">
        <v>25</v>
      </c>
      <c r="C29" s="20">
        <v>31398</v>
      </c>
      <c r="D29" s="19">
        <v>7</v>
      </c>
      <c r="E29" s="19">
        <v>38</v>
      </c>
      <c r="F29" s="19">
        <v>29</v>
      </c>
      <c r="G29" s="19">
        <v>67</v>
      </c>
    </row>
    <row r="30" spans="1:7" ht="18.75" x14ac:dyDescent="0.3">
      <c r="A30" s="46" t="s">
        <v>71</v>
      </c>
      <c r="B30" s="47"/>
      <c r="C30" s="22">
        <f>SUM(C25:C29)</f>
        <v>180874</v>
      </c>
      <c r="D30" s="22">
        <f>SUM(D25:D29)</f>
        <v>54</v>
      </c>
      <c r="E30" s="22">
        <f>SUM(E25:E29)</f>
        <v>248</v>
      </c>
      <c r="F30" s="22">
        <f>SUM(F25:F29)</f>
        <v>201</v>
      </c>
      <c r="G30" s="22">
        <f>SUM(G25:G29)</f>
        <v>449</v>
      </c>
    </row>
    <row r="31" spans="1:7" ht="18.75" x14ac:dyDescent="0.3">
      <c r="A31" s="34" t="s">
        <v>15</v>
      </c>
      <c r="B31" s="14" t="s">
        <v>16</v>
      </c>
      <c r="C31" s="20">
        <v>18892</v>
      </c>
      <c r="D31" s="19">
        <v>8</v>
      </c>
      <c r="E31" s="19">
        <v>28</v>
      </c>
      <c r="F31" s="19">
        <v>25</v>
      </c>
      <c r="G31" s="19">
        <v>53</v>
      </c>
    </row>
    <row r="32" spans="1:7" ht="18.75" x14ac:dyDescent="0.3">
      <c r="A32" s="34"/>
      <c r="B32" s="14" t="s">
        <v>17</v>
      </c>
      <c r="C32" s="20">
        <v>20222</v>
      </c>
      <c r="D32" s="19">
        <v>7</v>
      </c>
      <c r="E32" s="19">
        <v>26</v>
      </c>
      <c r="F32" s="19">
        <v>21</v>
      </c>
      <c r="G32" s="19">
        <v>47</v>
      </c>
    </row>
    <row r="33" spans="1:7" ht="18.75" x14ac:dyDescent="0.3">
      <c r="A33" s="34"/>
      <c r="B33" s="14" t="s">
        <v>18</v>
      </c>
      <c r="C33" s="20">
        <v>51443</v>
      </c>
      <c r="D33" s="19">
        <v>18</v>
      </c>
      <c r="E33" s="19">
        <v>63</v>
      </c>
      <c r="F33" s="19">
        <v>58</v>
      </c>
      <c r="G33" s="19">
        <v>121</v>
      </c>
    </row>
    <row r="34" spans="1:7" ht="18.75" x14ac:dyDescent="0.3">
      <c r="A34" s="34"/>
      <c r="B34" s="14" t="s">
        <v>19</v>
      </c>
      <c r="C34" s="20">
        <v>38292</v>
      </c>
      <c r="D34" s="19">
        <v>19</v>
      </c>
      <c r="E34" s="19">
        <v>69</v>
      </c>
      <c r="F34" s="19">
        <v>64</v>
      </c>
      <c r="G34" s="19">
        <v>133</v>
      </c>
    </row>
    <row r="35" spans="1:7" ht="18.75" x14ac:dyDescent="0.3">
      <c r="A35" s="46" t="s">
        <v>71</v>
      </c>
      <c r="B35" s="47"/>
      <c r="C35" s="22">
        <f>SUM(C31:C34)</f>
        <v>128849</v>
      </c>
      <c r="D35" s="22">
        <f>SUM(D31:D34)</f>
        <v>52</v>
      </c>
      <c r="E35" s="22">
        <f>SUM(E31:E34)</f>
        <v>186</v>
      </c>
      <c r="F35" s="22">
        <f>SUM(F31:F34)</f>
        <v>168</v>
      </c>
      <c r="G35" s="22">
        <f>SUM(G31:G34)</f>
        <v>354</v>
      </c>
    </row>
    <row r="36" spans="1:7" ht="18.75" x14ac:dyDescent="0.3">
      <c r="A36" s="34" t="s">
        <v>30</v>
      </c>
      <c r="B36" s="14" t="s">
        <v>31</v>
      </c>
      <c r="C36" s="20">
        <v>22840</v>
      </c>
      <c r="D36" s="19">
        <v>11</v>
      </c>
      <c r="E36" s="19">
        <v>33</v>
      </c>
      <c r="F36" s="19">
        <v>29</v>
      </c>
      <c r="G36" s="19">
        <v>62</v>
      </c>
    </row>
    <row r="37" spans="1:7" ht="18.75" x14ac:dyDescent="0.3">
      <c r="A37" s="34"/>
      <c r="B37" s="14" t="s">
        <v>32</v>
      </c>
      <c r="C37" s="20">
        <v>54306</v>
      </c>
      <c r="D37" s="19">
        <v>13</v>
      </c>
      <c r="E37" s="19">
        <v>68</v>
      </c>
      <c r="F37" s="19">
        <v>59</v>
      </c>
      <c r="G37" s="19">
        <v>127</v>
      </c>
    </row>
    <row r="38" spans="1:7" ht="18.75" x14ac:dyDescent="0.3">
      <c r="A38" s="34"/>
      <c r="B38" s="14" t="s">
        <v>33</v>
      </c>
      <c r="C38" s="20">
        <v>28270</v>
      </c>
      <c r="D38" s="19">
        <v>9</v>
      </c>
      <c r="E38" s="19">
        <v>34</v>
      </c>
      <c r="F38" s="19">
        <v>29</v>
      </c>
      <c r="G38" s="19">
        <v>63</v>
      </c>
    </row>
    <row r="39" spans="1:7" ht="18.75" x14ac:dyDescent="0.3">
      <c r="A39" s="34"/>
      <c r="B39" s="14" t="s">
        <v>34</v>
      </c>
      <c r="C39" s="20">
        <v>71535</v>
      </c>
      <c r="D39" s="19">
        <v>15</v>
      </c>
      <c r="E39" s="19">
        <v>84</v>
      </c>
      <c r="F39" s="19">
        <v>72</v>
      </c>
      <c r="G39" s="19">
        <v>156</v>
      </c>
    </row>
    <row r="40" spans="1:7" ht="18.75" x14ac:dyDescent="0.3">
      <c r="A40" s="34"/>
      <c r="B40" s="14" t="s">
        <v>35</v>
      </c>
      <c r="C40" s="20">
        <v>37145</v>
      </c>
      <c r="D40" s="19">
        <v>13</v>
      </c>
      <c r="E40" s="19">
        <v>63</v>
      </c>
      <c r="F40" s="19">
        <v>43</v>
      </c>
      <c r="G40" s="19">
        <v>106</v>
      </c>
    </row>
    <row r="41" spans="1:7" ht="18.75" x14ac:dyDescent="0.3">
      <c r="A41" s="34"/>
      <c r="B41" s="14" t="s">
        <v>36</v>
      </c>
      <c r="C41" s="20">
        <v>10285</v>
      </c>
      <c r="D41" s="19">
        <v>4</v>
      </c>
      <c r="E41" s="19">
        <v>17</v>
      </c>
      <c r="F41" s="19">
        <v>11</v>
      </c>
      <c r="G41" s="19">
        <v>28</v>
      </c>
    </row>
    <row r="42" spans="1:7" ht="18.75" x14ac:dyDescent="0.3">
      <c r="A42" s="34"/>
      <c r="B42" s="11" t="s">
        <v>37</v>
      </c>
      <c r="C42" s="20">
        <v>49182</v>
      </c>
      <c r="D42" s="19">
        <v>11</v>
      </c>
      <c r="E42" s="19">
        <v>60</v>
      </c>
      <c r="F42" s="19">
        <v>51</v>
      </c>
      <c r="G42" s="19">
        <v>111</v>
      </c>
    </row>
    <row r="43" spans="1:7" ht="18.75" x14ac:dyDescent="0.3">
      <c r="A43" s="46" t="s">
        <v>71</v>
      </c>
      <c r="B43" s="47"/>
      <c r="C43" s="22">
        <f>SUM(C36:C42)</f>
        <v>273563</v>
      </c>
      <c r="D43" s="22">
        <f>SUM(D36:D42)</f>
        <v>76</v>
      </c>
      <c r="E43" s="22">
        <f>SUM(E36:E42)</f>
        <v>359</v>
      </c>
      <c r="F43" s="22">
        <f>SUM(F36:F42)</f>
        <v>294</v>
      </c>
      <c r="G43" s="22">
        <f>SUM(G36:G42)</f>
        <v>653</v>
      </c>
    </row>
    <row r="44" spans="1:7" ht="18.75" x14ac:dyDescent="0.3">
      <c r="A44" s="35" t="s">
        <v>61</v>
      </c>
      <c r="B44" s="14" t="s">
        <v>58</v>
      </c>
      <c r="C44" s="20">
        <v>75341</v>
      </c>
      <c r="D44" s="19">
        <v>21</v>
      </c>
      <c r="E44" s="19">
        <v>105</v>
      </c>
      <c r="F44" s="19">
        <v>87</v>
      </c>
      <c r="G44" s="19">
        <v>192</v>
      </c>
    </row>
    <row r="45" spans="1:7" ht="18.75" x14ac:dyDescent="0.3">
      <c r="A45" s="36"/>
      <c r="B45" s="14" t="s">
        <v>59</v>
      </c>
      <c r="C45" s="20">
        <v>85951</v>
      </c>
      <c r="D45" s="19">
        <v>23</v>
      </c>
      <c r="E45" s="19">
        <v>110</v>
      </c>
      <c r="F45" s="19">
        <v>96</v>
      </c>
      <c r="G45" s="19">
        <v>206</v>
      </c>
    </row>
    <row r="46" spans="1:7" ht="18.75" x14ac:dyDescent="0.3">
      <c r="A46" s="37"/>
      <c r="B46" s="14" t="s">
        <v>60</v>
      </c>
      <c r="C46" s="20">
        <v>30037</v>
      </c>
      <c r="D46" s="19">
        <v>8</v>
      </c>
      <c r="E46" s="19">
        <v>43</v>
      </c>
      <c r="F46" s="19">
        <v>37</v>
      </c>
      <c r="G46" s="19">
        <v>80</v>
      </c>
    </row>
    <row r="47" spans="1:7" ht="18.75" x14ac:dyDescent="0.3">
      <c r="A47" s="46" t="s">
        <v>71</v>
      </c>
      <c r="B47" s="47"/>
      <c r="C47" s="22">
        <f>SUM(C44:C46)</f>
        <v>191329</v>
      </c>
      <c r="D47" s="22">
        <f>SUM(D44:D46)</f>
        <v>52</v>
      </c>
      <c r="E47" s="22">
        <f>SUM(E44:E46)</f>
        <v>258</v>
      </c>
      <c r="F47" s="22">
        <f>SUM(F44:F46)</f>
        <v>220</v>
      </c>
      <c r="G47" s="22">
        <f>SUM(G44:G46)</f>
        <v>478</v>
      </c>
    </row>
    <row r="48" spans="1:7" ht="18.75" x14ac:dyDescent="0.3">
      <c r="A48" s="38" t="s">
        <v>65</v>
      </c>
      <c r="B48" s="14" t="s">
        <v>62</v>
      </c>
      <c r="C48" s="20">
        <v>23080</v>
      </c>
      <c r="D48" s="19">
        <v>8</v>
      </c>
      <c r="E48" s="19">
        <v>31</v>
      </c>
      <c r="F48" s="19">
        <v>27</v>
      </c>
      <c r="G48" s="19">
        <v>58</v>
      </c>
    </row>
    <row r="49" spans="1:7" ht="18.75" customHeight="1" x14ac:dyDescent="0.3">
      <c r="A49" s="39"/>
      <c r="B49" s="14" t="s">
        <v>63</v>
      </c>
      <c r="C49" s="20">
        <v>58339</v>
      </c>
      <c r="D49" s="19">
        <v>15</v>
      </c>
      <c r="E49" s="19">
        <v>82</v>
      </c>
      <c r="F49" s="19">
        <v>58</v>
      </c>
      <c r="G49" s="19">
        <v>140</v>
      </c>
    </row>
    <row r="50" spans="1:7" ht="18.75" x14ac:dyDescent="0.3">
      <c r="A50" s="40"/>
      <c r="B50" s="14" t="s">
        <v>64</v>
      </c>
      <c r="C50" s="20">
        <v>42928</v>
      </c>
      <c r="D50" s="19">
        <v>14</v>
      </c>
      <c r="E50" s="19">
        <v>59</v>
      </c>
      <c r="F50" s="19">
        <v>46</v>
      </c>
      <c r="G50" s="19">
        <v>105</v>
      </c>
    </row>
    <row r="51" spans="1:7" ht="18.75" x14ac:dyDescent="0.3">
      <c r="A51" s="46" t="s">
        <v>71</v>
      </c>
      <c r="B51" s="47"/>
      <c r="C51" s="22">
        <f>SUM(C48:C50)</f>
        <v>124347</v>
      </c>
      <c r="D51" s="22">
        <f>SUM(D48:D50)</f>
        <v>37</v>
      </c>
      <c r="E51" s="22">
        <f>SUM(E48:E50)</f>
        <v>172</v>
      </c>
      <c r="F51" s="22">
        <f>SUM(F48:F50)</f>
        <v>131</v>
      </c>
      <c r="G51" s="22">
        <f>SUM(G48:G50)</f>
        <v>303</v>
      </c>
    </row>
    <row r="52" spans="1:7" ht="18.75" customHeight="1" x14ac:dyDescent="0.3">
      <c r="A52" s="34" t="s">
        <v>47</v>
      </c>
      <c r="B52" s="14" t="s">
        <v>44</v>
      </c>
      <c r="C52" s="20">
        <v>14745</v>
      </c>
      <c r="D52" s="19">
        <v>6</v>
      </c>
      <c r="E52" s="19">
        <v>16</v>
      </c>
      <c r="F52" s="19">
        <v>17</v>
      </c>
      <c r="G52" s="19">
        <v>33</v>
      </c>
    </row>
    <row r="53" spans="1:7" ht="18.75" customHeight="1" x14ac:dyDescent="0.3">
      <c r="A53" s="34"/>
      <c r="B53" s="14" t="s">
        <v>45</v>
      </c>
      <c r="C53" s="20">
        <v>34219</v>
      </c>
      <c r="D53" s="19">
        <v>12</v>
      </c>
      <c r="E53" s="19">
        <v>42</v>
      </c>
      <c r="F53" s="19">
        <v>39</v>
      </c>
      <c r="G53" s="19">
        <v>81</v>
      </c>
    </row>
    <row r="54" spans="1:7" ht="18.75" customHeight="1" x14ac:dyDescent="0.3">
      <c r="A54" s="34"/>
      <c r="B54" s="14" t="s">
        <v>46</v>
      </c>
      <c r="C54" s="20">
        <v>39048</v>
      </c>
      <c r="D54" s="19">
        <v>15</v>
      </c>
      <c r="E54" s="19">
        <v>47</v>
      </c>
      <c r="F54" s="19">
        <v>36</v>
      </c>
      <c r="G54" s="19">
        <v>83</v>
      </c>
    </row>
    <row r="55" spans="1:7" ht="18.75" customHeight="1" x14ac:dyDescent="0.3">
      <c r="A55" s="46" t="s">
        <v>71</v>
      </c>
      <c r="B55" s="47"/>
      <c r="C55" s="22">
        <f>SUM(C52:C54)</f>
        <v>88012</v>
      </c>
      <c r="D55" s="22">
        <f>SUM(D52:D54)</f>
        <v>33</v>
      </c>
      <c r="E55" s="22">
        <f>SUM(E52:E54)</f>
        <v>105</v>
      </c>
      <c r="F55" s="22">
        <f>SUM(F52:F54)</f>
        <v>92</v>
      </c>
      <c r="G55" s="22">
        <f>SUM(G52:G54)</f>
        <v>197</v>
      </c>
    </row>
    <row r="56" spans="1:7" ht="18.75" customHeight="1" x14ac:dyDescent="0.3">
      <c r="A56" s="45" t="s">
        <v>68</v>
      </c>
      <c r="B56" s="15" t="s">
        <v>69</v>
      </c>
      <c r="C56" s="19">
        <v>19267</v>
      </c>
      <c r="D56" s="19">
        <v>10</v>
      </c>
      <c r="E56" s="19">
        <v>28</v>
      </c>
      <c r="F56" s="19">
        <v>24</v>
      </c>
      <c r="G56" s="19">
        <v>52</v>
      </c>
    </row>
    <row r="57" spans="1:7" ht="18.75" x14ac:dyDescent="0.3">
      <c r="A57" s="45"/>
      <c r="B57" s="15" t="s">
        <v>70</v>
      </c>
      <c r="C57" s="16">
        <v>6243</v>
      </c>
      <c r="D57" s="19">
        <v>3</v>
      </c>
      <c r="E57" s="19">
        <v>10</v>
      </c>
      <c r="F57" s="19">
        <v>7</v>
      </c>
      <c r="G57" s="19">
        <v>17</v>
      </c>
    </row>
    <row r="58" spans="1:7" ht="18" customHeight="1" x14ac:dyDescent="0.3">
      <c r="A58" s="46" t="s">
        <v>71</v>
      </c>
      <c r="B58" s="47"/>
      <c r="C58" s="22">
        <f>SUM(C56:C57)</f>
        <v>25510</v>
      </c>
      <c r="D58" s="22">
        <f>SUM(D56:D57)</f>
        <v>13</v>
      </c>
      <c r="E58" s="22">
        <f>SUM(E56:E57)</f>
        <v>38</v>
      </c>
      <c r="F58" s="22">
        <f>SUM(F56:F57)</f>
        <v>31</v>
      </c>
      <c r="G58" s="22">
        <f>SUM(G56:G57)</f>
        <v>69</v>
      </c>
    </row>
    <row r="59" spans="1:7" ht="18.75" customHeight="1" x14ac:dyDescent="0.25">
      <c r="A59" s="34" t="s">
        <v>38</v>
      </c>
      <c r="B59" s="14" t="s">
        <v>39</v>
      </c>
      <c r="C59" s="17">
        <v>39746</v>
      </c>
      <c r="D59" s="16">
        <v>14</v>
      </c>
      <c r="E59" s="16">
        <v>47</v>
      </c>
      <c r="F59" s="16">
        <v>41</v>
      </c>
      <c r="G59" s="16">
        <v>88</v>
      </c>
    </row>
    <row r="60" spans="1:7" ht="18.75" x14ac:dyDescent="0.25">
      <c r="A60" s="34"/>
      <c r="B60" s="14" t="s">
        <v>40</v>
      </c>
      <c r="C60" s="17">
        <v>59759</v>
      </c>
      <c r="D60" s="16">
        <v>15</v>
      </c>
      <c r="E60" s="16">
        <v>79</v>
      </c>
      <c r="F60" s="16">
        <v>58</v>
      </c>
      <c r="G60" s="16">
        <v>137</v>
      </c>
    </row>
    <row r="61" spans="1:7" ht="18.75" x14ac:dyDescent="0.25">
      <c r="A61" s="34"/>
      <c r="B61" s="14" t="s">
        <v>41</v>
      </c>
      <c r="C61" s="17">
        <v>29660</v>
      </c>
      <c r="D61" s="16">
        <v>9</v>
      </c>
      <c r="E61" s="16">
        <v>43</v>
      </c>
      <c r="F61" s="16">
        <v>36</v>
      </c>
      <c r="G61" s="16">
        <v>79</v>
      </c>
    </row>
    <row r="62" spans="1:7" ht="18.75" x14ac:dyDescent="0.25">
      <c r="A62" s="34"/>
      <c r="B62" s="14" t="s">
        <v>42</v>
      </c>
      <c r="C62" s="17">
        <v>22828</v>
      </c>
      <c r="D62" s="16">
        <v>9</v>
      </c>
      <c r="E62" s="16">
        <v>26</v>
      </c>
      <c r="F62" s="16">
        <v>23</v>
      </c>
      <c r="G62" s="16">
        <v>49</v>
      </c>
    </row>
    <row r="63" spans="1:7" ht="18.75" x14ac:dyDescent="0.25">
      <c r="A63" s="34"/>
      <c r="B63" s="14" t="s">
        <v>43</v>
      </c>
      <c r="C63" s="17">
        <v>13236</v>
      </c>
      <c r="D63" s="16">
        <v>5</v>
      </c>
      <c r="E63" s="16">
        <v>17</v>
      </c>
      <c r="F63" s="16">
        <v>14</v>
      </c>
      <c r="G63" s="16">
        <v>31</v>
      </c>
    </row>
    <row r="64" spans="1:7" ht="18.75" x14ac:dyDescent="0.25">
      <c r="A64" s="46" t="s">
        <v>71</v>
      </c>
      <c r="B64" s="47"/>
      <c r="C64" s="21">
        <f>SUM(C59:C63)</f>
        <v>165229</v>
      </c>
      <c r="D64" s="21">
        <f>SUM(D59:D63)</f>
        <v>52</v>
      </c>
      <c r="E64" s="21">
        <f>SUM(E59:E63)</f>
        <v>212</v>
      </c>
      <c r="F64" s="21">
        <f>SUM(F59:F63)</f>
        <v>172</v>
      </c>
      <c r="G64" s="21">
        <f>SUM(G59:G63)</f>
        <v>384</v>
      </c>
    </row>
    <row r="65" spans="1:7" ht="18.75" x14ac:dyDescent="0.3">
      <c r="A65" s="34" t="s">
        <v>48</v>
      </c>
      <c r="B65" s="14" t="s">
        <v>49</v>
      </c>
      <c r="C65" s="20">
        <v>15304</v>
      </c>
      <c r="D65" s="20">
        <v>4</v>
      </c>
      <c r="E65" s="20">
        <v>18</v>
      </c>
      <c r="F65" s="20">
        <v>16</v>
      </c>
      <c r="G65" s="20">
        <v>34</v>
      </c>
    </row>
    <row r="66" spans="1:7" ht="18.75" x14ac:dyDescent="0.3">
      <c r="A66" s="34"/>
      <c r="B66" s="14" t="s">
        <v>50</v>
      </c>
      <c r="C66" s="20">
        <v>48855</v>
      </c>
      <c r="D66" s="20">
        <v>15</v>
      </c>
      <c r="E66" s="20">
        <v>59</v>
      </c>
      <c r="F66" s="20">
        <v>52</v>
      </c>
      <c r="G66" s="20">
        <v>111</v>
      </c>
    </row>
    <row r="67" spans="1:7" ht="18.75" x14ac:dyDescent="0.3">
      <c r="A67" s="34"/>
      <c r="B67" s="14" t="s">
        <v>51</v>
      </c>
      <c r="C67" s="20">
        <v>31286</v>
      </c>
      <c r="D67" s="20">
        <v>9</v>
      </c>
      <c r="E67" s="20">
        <v>40</v>
      </c>
      <c r="F67" s="20">
        <v>39</v>
      </c>
      <c r="G67" s="20">
        <v>79</v>
      </c>
    </row>
    <row r="68" spans="1:7" ht="18.75" x14ac:dyDescent="0.3">
      <c r="A68" s="34"/>
      <c r="B68" s="14" t="s">
        <v>52</v>
      </c>
      <c r="C68" s="20">
        <v>20663</v>
      </c>
      <c r="D68" s="20">
        <v>7</v>
      </c>
      <c r="E68" s="20">
        <v>25</v>
      </c>
      <c r="F68" s="20">
        <v>25</v>
      </c>
      <c r="G68" s="20">
        <v>50</v>
      </c>
    </row>
    <row r="69" spans="1:7" ht="18.75" x14ac:dyDescent="0.3">
      <c r="A69" s="34"/>
      <c r="B69" s="14" t="s">
        <v>53</v>
      </c>
      <c r="C69" s="20">
        <v>37060</v>
      </c>
      <c r="D69" s="20">
        <v>10</v>
      </c>
      <c r="E69" s="20">
        <v>46</v>
      </c>
      <c r="F69" s="20">
        <v>38</v>
      </c>
      <c r="G69" s="20">
        <v>84</v>
      </c>
    </row>
    <row r="70" spans="1:7" ht="18.75" x14ac:dyDescent="0.3">
      <c r="A70" s="46" t="s">
        <v>71</v>
      </c>
      <c r="B70" s="47"/>
      <c r="C70" s="22">
        <f>SUM(C65:C69)</f>
        <v>153168</v>
      </c>
      <c r="D70" s="22">
        <f>SUM(D65:D69)</f>
        <v>45</v>
      </c>
      <c r="E70" s="22">
        <f>SUM(E65:E69)</f>
        <v>188</v>
      </c>
      <c r="F70" s="22">
        <f>SUM(F65:F69)</f>
        <v>170</v>
      </c>
      <c r="G70" s="22">
        <f>SUM(G65:G69)</f>
        <v>358</v>
      </c>
    </row>
    <row r="71" spans="1:7" ht="18.75" x14ac:dyDescent="0.3">
      <c r="A71" s="34" t="s">
        <v>54</v>
      </c>
      <c r="B71" s="14" t="s">
        <v>55</v>
      </c>
      <c r="C71" s="20">
        <v>28107</v>
      </c>
      <c r="D71" s="19">
        <v>13</v>
      </c>
      <c r="E71" s="19">
        <v>37</v>
      </c>
      <c r="F71" s="19">
        <v>31</v>
      </c>
      <c r="G71" s="19">
        <v>68</v>
      </c>
    </row>
    <row r="72" spans="1:7" ht="18.75" x14ac:dyDescent="0.3">
      <c r="A72" s="34"/>
      <c r="B72" s="14" t="s">
        <v>56</v>
      </c>
      <c r="C72" s="20">
        <v>25481</v>
      </c>
      <c r="D72" s="19">
        <v>9</v>
      </c>
      <c r="E72" s="19">
        <v>33</v>
      </c>
      <c r="F72" s="19">
        <v>31</v>
      </c>
      <c r="G72" s="19">
        <v>64</v>
      </c>
    </row>
    <row r="73" spans="1:7" ht="18.75" x14ac:dyDescent="0.3">
      <c r="A73" s="34"/>
      <c r="B73" s="14" t="s">
        <v>57</v>
      </c>
      <c r="C73" s="20">
        <v>19526</v>
      </c>
      <c r="D73" s="19">
        <v>7</v>
      </c>
      <c r="E73" s="19">
        <v>25</v>
      </c>
      <c r="F73" s="19">
        <v>19</v>
      </c>
      <c r="G73" s="19">
        <v>44</v>
      </c>
    </row>
    <row r="74" spans="1:7" ht="18.75" x14ac:dyDescent="0.3">
      <c r="A74" s="46" t="s">
        <v>71</v>
      </c>
      <c r="B74" s="47"/>
      <c r="C74" s="22">
        <f>SUM(C71:C73)</f>
        <v>73114</v>
      </c>
      <c r="D74" s="22">
        <f>SUM(D71:D73)</f>
        <v>29</v>
      </c>
      <c r="E74" s="22">
        <f>SUM(E71:E73)</f>
        <v>95</v>
      </c>
      <c r="F74" s="22">
        <f>SUM(F71:F73)</f>
        <v>81</v>
      </c>
      <c r="G74" s="22">
        <f>SUM(G71:G73)</f>
        <v>176</v>
      </c>
    </row>
    <row r="76" spans="1:7" ht="21" x14ac:dyDescent="0.35">
      <c r="A76" s="53" t="s">
        <v>71</v>
      </c>
      <c r="B76" s="54"/>
      <c r="C76" s="24">
        <f>SUM(C74,C70,C64,C58,C55,C51,C47,C43,C35,C30,C24,C19,C14,C8)</f>
        <v>1972911</v>
      </c>
      <c r="D76" s="24">
        <f>SUM(D74,D70,D64,D58,D55,D51,D47,D43,D35,D30,D24,D19,D14,D8)</f>
        <v>658</v>
      </c>
      <c r="E76" s="24">
        <f>SUM(E74,E70,E64,E58,E55,E51,E47,E43,E35,E30,E24,E19,E14,E8)</f>
        <v>2917</v>
      </c>
      <c r="F76" s="24">
        <f>SUM(F74,F70,F64,F58,F55,F51,F47,F43,F35,F30,F24,F19,F14,F8)</f>
        <v>2415</v>
      </c>
      <c r="G76" s="24">
        <f>SUM(G74,G70,G64,G58,G55,G51,G47,G43,G35,G30,G24,G19,G14,G8)</f>
        <v>5332</v>
      </c>
    </row>
  </sheetData>
  <mergeCells count="34">
    <mergeCell ref="A74:B74"/>
    <mergeCell ref="A76:B76"/>
    <mergeCell ref="A55:B55"/>
    <mergeCell ref="A58:B58"/>
    <mergeCell ref="A64:B64"/>
    <mergeCell ref="A70:B70"/>
    <mergeCell ref="A59:A63"/>
    <mergeCell ref="A65:A69"/>
    <mergeCell ref="A71:A73"/>
    <mergeCell ref="E2:G2"/>
    <mergeCell ref="A2:A3"/>
    <mergeCell ref="B2:B3"/>
    <mergeCell ref="C2:C3"/>
    <mergeCell ref="D2:D3"/>
    <mergeCell ref="A4:A7"/>
    <mergeCell ref="A9:A13"/>
    <mergeCell ref="A8:B8"/>
    <mergeCell ref="A20:A23"/>
    <mergeCell ref="A25:A29"/>
    <mergeCell ref="A14:B14"/>
    <mergeCell ref="A19:B19"/>
    <mergeCell ref="A24:B24"/>
    <mergeCell ref="A48:A50"/>
    <mergeCell ref="A52:A54"/>
    <mergeCell ref="A56:A57"/>
    <mergeCell ref="A51:B51"/>
    <mergeCell ref="A15:A18"/>
    <mergeCell ref="A30:B30"/>
    <mergeCell ref="A35:B35"/>
    <mergeCell ref="A43:B43"/>
    <mergeCell ref="A47:B47"/>
    <mergeCell ref="A31:A34"/>
    <mergeCell ref="A36:A42"/>
    <mergeCell ref="A44:A46"/>
  </mergeCells>
  <hyperlinks>
    <hyperlink ref="B4" r:id="rId1" tooltip="الجزائر الوسطى" display="https://www.marefa.org/%D8%A7%D9%84%D8%AC%D8%B2%D8%A7%D8%A6%D8%B1_%D8%A7%D9%84%D9%88%D8%B3%D8%B7%D9%89" xr:uid="{00000000-0004-0000-0100-000000000000}"/>
    <hyperlink ref="B5" r:id="rId2" tooltip="سيدي امحمد" display="https://www.marefa.org/%D8%B3%D9%8A%D8%AF%D9%8A_%D8%A7%D9%85%D8%AD%D9%85%D8%AF" xr:uid="{00000000-0004-0000-0100-000001000000}"/>
    <hyperlink ref="B6" r:id="rId3" tooltip="المدنية (الصفحة غير موجودة)" display="https://www.marefa.org/index.php?title=%D8%A7%D9%84%D9%85%D8%AF%D9%86%D9%8A%D8%A9&amp;action=edit&amp;redlink=1" xr:uid="{00000000-0004-0000-0100-000002000000}"/>
    <hyperlink ref="B7" r:id="rId4" tooltip="المرادية" display="https://www.marefa.org/%D8%A7%D9%84%D9%85%D8%B1%D8%A7%D8%AF%D9%8A%D8%A9" xr:uid="{00000000-0004-0000-0100-000003000000}"/>
    <hyperlink ref="B9" r:id="rId5" tooltip="باب الواد (بلدية)" display="https://www.marefa.org/%D8%A8%D8%A7%D8%A8_%D8%A7%D9%84%D9%88%D8%A7%D8%AF_(%D8%A8%D9%84%D8%AF%D9%8A%D8%A9)" xr:uid="{00000000-0004-0000-0100-000004000000}"/>
    <hyperlink ref="B10" r:id="rId6" tooltip="القصبة" display="https://www.marefa.org/%D8%A7%D9%84%D9%82%D8%B5%D8%A8%D8%A9" xr:uid="{00000000-0004-0000-0100-000005000000}"/>
    <hyperlink ref="B11" r:id="rId7" tooltip="بولوغين (الصفحة غير موجودة)" display="https://www.marefa.org/index.php?title=%D8%A8%D9%88%D9%84%D9%88%D8%BA%D9%8A%D9%86&amp;action=edit&amp;redlink=1" xr:uid="{00000000-0004-0000-0100-000006000000}"/>
    <hyperlink ref="B12" r:id="rId8" tooltip="واد قريش" display="https://www.marefa.org/%D9%88%D8%A7%D8%AF_%D9%82%D8%B1%D9%8A%D8%B4" xr:uid="{00000000-0004-0000-0100-000007000000}"/>
    <hyperlink ref="B13" r:id="rId9" tooltip="رايس حميدو (الصفحة غير موجودة)" display="https://www.marefa.org/index.php?title=%D8%B1%D8%A7%D9%8A%D8%B3_%D8%AD%D9%85%D9%8A%D8%AF%D9%88&amp;action=edit&amp;redlink=1" xr:uid="{00000000-0004-0000-0100-000008000000}"/>
    <hyperlink ref="B15" r:id="rId10" tooltip="بلدية المقارية" display="https://www.marefa.org/%D8%A8%D9%84%D8%AF%D9%8A%D8%A9_%D8%A7%D9%84%D9%85%D9%82%D8%A7%D8%B1%D9%8A%D8%A9" xr:uid="{00000000-0004-0000-0100-000009000000}"/>
    <hyperlink ref="B17" r:id="rId11" tooltip="حسين داي (الصفحة غير موجودة)" display="https://www.marefa.org/index.php?title=%D8%AD%D8%B3%D9%8A%D9%86_%D8%AF%D8%A7%D9%8A&amp;action=edit&amp;redlink=1" xr:uid="{00000000-0004-0000-0100-00000A000000}"/>
    <hyperlink ref="B18" r:id="rId12" tooltip="القبة" display="https://www.marefa.org/%D8%A7%D9%84%D9%82%D8%A8%D8%A9" xr:uid="{00000000-0004-0000-0100-00000B000000}"/>
    <hyperlink ref="B20" r:id="rId13" tooltip="باش جراح (الصفحة غير موجودة)" display="https://www.marefa.org/index.php?title=%D8%A8%D8%A7%D8%B4_%D8%AC%D8%B1%D8%A7%D8%AD&amp;action=edit&amp;redlink=1" xr:uid="{00000000-0004-0000-0100-00000C000000}"/>
    <hyperlink ref="B21" r:id="rId14" tooltip="بوروبة (الصفحة غير موجودة)" display="https://www.marefa.org/index.php?title=%D8%A8%D9%88%D8%B1%D9%88%D8%A8%D8%A9&amp;action=edit&amp;redlink=1" xr:uid="{00000000-0004-0000-0100-00000D000000}"/>
    <hyperlink ref="B22" r:id="rId15" tooltip="الحراش (الصفحة غير موجودة)" display="https://www.marefa.org/index.php?title=%D8%A7%D9%84%D8%AD%D8%B1%D8%A7%D8%B4&amp;action=edit&amp;redlink=1" xr:uid="{00000000-0004-0000-0100-00000E000000}"/>
    <hyperlink ref="B23" r:id="rId16" tooltip="وادي السمار (الصفحة غير موجودة)" display="https://www.marefa.org/index.php?title=%D9%88%D8%A7%D8%AF%D9%8A_%D8%A7%D9%84%D8%B3%D9%85%D8%A7%D8%B1&amp;action=edit&amp;redlink=1" xr:uid="{00000000-0004-0000-0100-00000F000000}"/>
    <hyperlink ref="B25" r:id="rId17" tooltip="بئر مراد رايس" display="https://www.marefa.org/%D8%A8%D8%A6%D8%B1_%D9%85%D8%B1%D8%A7%D8%AF_%D8%B1%D8%A7%D9%8A%D8%B3" xr:uid="{00000000-0004-0000-0100-000010000000}"/>
    <hyperlink ref="B26" r:id="rId18" tooltip="بلدية بئر خادم" display="https://www.marefa.org/%D8%A8%D9%84%D8%AF%D9%8A%D8%A9_%D8%A8%D8%A6%D8%B1_%D8%AE%D8%A7%D8%AF%D9%85" xr:uid="{00000000-0004-0000-0100-000011000000}"/>
    <hyperlink ref="B27" r:id="rId19" tooltip="جسر قسنطينة" display="https://www.marefa.org/%D8%AC%D8%B3%D8%B1_%D9%82%D8%B3%D9%86%D8%B7%D9%8A%D9%86%D8%A9" xr:uid="{00000000-0004-0000-0100-000012000000}"/>
    <hyperlink ref="B28" r:id="rId20" tooltip="حيدرة" display="https://www.marefa.org/%D8%AD%D9%8A%D8%AF%D8%B1%D8%A9" xr:uid="{00000000-0004-0000-0100-000013000000}"/>
    <hyperlink ref="B29" r:id="rId21" tooltip="بلدية سحاولة (الصفحة غير موجودة)" display="https://www.marefa.org/index.php?title=%D8%A8%D9%84%D8%AF%D9%8A%D8%A9_%D8%B3%D8%AD%D8%A7%D9%88%D9%84%D8%A9&amp;action=edit&amp;redlink=1" xr:uid="{00000000-0004-0000-0100-000014000000}"/>
    <hyperlink ref="B31" r:id="rId22" tooltip="بن عكنون" display="https://www.marefa.org/%D8%A8%D9%86_%D8%B9%D9%83%D9%86%D9%88%D9%86" xr:uid="{00000000-0004-0000-0100-000015000000}"/>
    <hyperlink ref="B32" r:id="rId23" tooltip="بني مسوس" display="https://www.marefa.org/%D8%A8%D9%86%D9%8A_%D9%85%D8%B3%D9%88%D8%B3" xr:uid="{00000000-0004-0000-0100-000016000000}"/>
    <hyperlink ref="B33" r:id="rId24" tooltip="بوزريعة" display="https://www.marefa.org/%D8%A8%D9%88%D8%B2%D8%B1%D9%8A%D8%B9%D8%A9" xr:uid="{00000000-0004-0000-0100-000017000000}"/>
    <hyperlink ref="B34" r:id="rId25" tooltip="الأبيار" display="https://www.marefa.org/%D8%A7%D9%84%D8%A3%D8%A8%D9%8A%D8%A7%D8%B1" xr:uid="{00000000-0004-0000-0100-000018000000}"/>
    <hyperlink ref="B36" r:id="rId26" tooltip="عين طاية (الصفحة غير موجودة)" display="https://www.marefa.org/index.php?title=%D8%B9%D9%8A%D9%86_%D8%B7%D8%A7%D9%8A%D8%A9&amp;action=edit&amp;redlink=1" xr:uid="{00000000-0004-0000-0100-000019000000}"/>
    <hyperlink ref="B37" r:id="rId27" tooltip="باب الزوار (الصفحة غير موجودة)" display="https://www.marefa.org/index.php?title=%D8%A8%D8%A7%D8%A8_%D8%A7%D9%84%D8%B2%D9%88%D8%A7%D8%B1&amp;action=edit&amp;redlink=1" xr:uid="{00000000-0004-0000-0100-00001A000000}"/>
    <hyperlink ref="B38" r:id="rId28" tooltip="برج البحري" display="https://www.marefa.org/%D8%A8%D8%B1%D8%AC_%D8%A7%D9%84%D8%A8%D8%AD%D8%B1%D9%8A" xr:uid="{00000000-0004-0000-0100-00001B000000}"/>
    <hyperlink ref="B39" r:id="rId29" tooltip="برج الكيفان" display="https://www.marefa.org/%D8%A8%D8%B1%D8%AC_%D8%A7%D9%84%D9%83%D9%8A%D9%81%D8%A7%D9%86" xr:uid="{00000000-0004-0000-0100-00001C000000}"/>
    <hyperlink ref="B40" r:id="rId30" tooltip="بلدية الدار البيضاء (الجزائر)" display="https://www.marefa.org/%D8%A8%D9%84%D8%AF%D9%8A%D8%A9_%D8%A7%D9%84%D8%AF%D8%A7%D8%B1_%D8%A7%D9%84%D8%A8%D9%8A%D8%B6%D8%A7%D8%A1_(%D8%A7%D9%84%D8%AC%D8%B2%D8%A7%D8%A6%D8%B1)" xr:uid="{00000000-0004-0000-0100-00001D000000}"/>
    <hyperlink ref="B41" r:id="rId31" tooltip="بلدية المرسى" display="https://www.marefa.org/%D8%A8%D9%84%D8%AF%D9%8A%D8%A9_%D8%A7%D9%84%D9%85%D8%B1%D8%B3%D9%89" xr:uid="{00000000-0004-0000-0100-00001E000000}"/>
    <hyperlink ref="B42" r:id="rId32" tooltip="بلدية المحمدية(الجزائر)" display="https://www.marefa.org/%D8%A8%D9%84%D8%AF%D9%8A%D8%A9_%D8%A7%D9%84%D9%85%D8%AD%D9%85%D8%AF%D9%8A%D8%A9(%D8%A7%D9%84%D8%AC%D8%B2%D8%A7%D8%A6%D8%B1)" xr:uid="{00000000-0004-0000-0100-00001F000000}"/>
    <hyperlink ref="B44" r:id="rId33" tooltip="براقي (الصفحة غير موجودة)" display="https://www.marefa.org/index.php?title=%D8%A8%D8%B1%D8%A7%D9%82%D9%8A&amp;action=edit&amp;redlink=1" xr:uid="{00000000-0004-0000-0100-000020000000}"/>
    <hyperlink ref="B45" r:id="rId34" tooltip="الكاليتوس (الصفحة غير موجودة)" display="https://www.marefa.org/index.php?title=%D8%A7%D9%84%D9%83%D8%A7%D9%84%D9%8A%D8%AA%D9%88%D8%B3&amp;action=edit&amp;redlink=1" xr:uid="{00000000-0004-0000-0100-000021000000}"/>
    <hyperlink ref="B46" r:id="rId35" tooltip="سيدي موسى (الصفحة غير موجودة)" display="https://www.marefa.org/index.php?title=%D8%B3%D9%8A%D8%AF%D9%8A_%D9%85%D9%88%D8%B3%D9%89&amp;action=edit&amp;redlink=1" xr:uid="{00000000-0004-0000-0100-000022000000}"/>
    <hyperlink ref="B48" r:id="rId36" tooltip="هراوة (الصفحة غير موجودة)" display="https://www.marefa.org/index.php?title=%D9%87%D8%B1%D8%A7%D9%88%D8%A9&amp;action=edit&amp;redlink=1" xr:uid="{00000000-0004-0000-0100-000023000000}"/>
    <hyperlink ref="B49" r:id="rId37" tooltip="الرغاية (الصفحة غير موجودة)" display="https://www.marefa.org/index.php?title=%D8%A7%D9%84%D8%B1%D8%BA%D8%A7%D9%8A%D8%A9&amp;action=edit&amp;redlink=1" xr:uid="{00000000-0004-0000-0100-000024000000}"/>
    <hyperlink ref="B50" r:id="rId38" tooltip="الرويبة (الصفحة غير موجودة)" display="https://www.marefa.org/index.php?title=%D8%A7%D9%84%D8%B1%D9%88%D9%8A%D8%A8%D8%A9&amp;action=edit&amp;redlink=1" xr:uid="{00000000-0004-0000-0100-000025000000}"/>
    <hyperlink ref="B52" r:id="rId39" tooltip="السويدانية (الصفحة غير موجودة)" display="https://www.marefa.org/index.php?title=%D8%A7%D9%84%D8%B3%D9%88%D9%8A%D8%AF%D8%A7%D9%86%D9%8A%D8%A9&amp;action=edit&amp;redlink=1" xr:uid="{00000000-0004-0000-0100-000026000000}"/>
    <hyperlink ref="B53" r:id="rId40" tooltip="سطاوالي" display="https://www.marefa.org/%D8%B3%D8%B7%D8%A7%D9%88%D8%A7%D9%84%D9%8A" xr:uid="{00000000-0004-0000-0100-000027000000}"/>
    <hyperlink ref="B54" r:id="rId41" tooltip="زرالدة" display="https://www.marefa.org/%D8%B2%D8%B1%D8%A7%D9%84%D8%AF%D8%A9" xr:uid="{00000000-0004-0000-0100-000028000000}"/>
    <hyperlink ref="B59" r:id="rId42" tooltip="عين البنيان (الصفحة غير موجودة)" display="https://www.marefa.org/index.php?title=%D8%B9%D9%8A%D9%86_%D8%A7%D9%84%D8%A8%D9%86%D9%8A%D8%A7%D9%86&amp;action=edit&amp;redlink=1" xr:uid="{00000000-0004-0000-0100-000029000000}"/>
    <hyperlink ref="B60" r:id="rId43" tooltip="الشراقة (الصفحة غير موجودة)" display="https://www.marefa.org/index.php?title=%D8%A7%D9%84%D8%B4%D8%B1%D8%A7%D9%82%D8%A9&amp;action=edit&amp;redlink=1" xr:uid="{00000000-0004-0000-0100-00002A000000}"/>
    <hyperlink ref="B61" r:id="rId44" tooltip="دالي ابراهيم (الصفحة غير موجودة)" display="https://www.marefa.org/index.php?title=%D8%AF%D8%A7%D9%84%D9%8A_%D8%A7%D8%A8%D8%B1%D8%A7%D9%87%D9%8A%D9%85&amp;action=edit&amp;redlink=1" xr:uid="{00000000-0004-0000-0100-00002B000000}"/>
    <hyperlink ref="B62" r:id="rId45" tooltip="أولاد فايت (الصفحة غير موجودة)" display="https://www.marefa.org/index.php?title=%D8%A3%D9%88%D9%84%D8%A7%D8%AF_%D9%81%D8%A7%D9%8A%D8%AA&amp;action=edit&amp;redlink=1" xr:uid="{00000000-0004-0000-0100-00002C000000}"/>
    <hyperlink ref="B63" r:id="rId46" tooltip="بلدية الحمامات (الجزائر)" display="https://www.marefa.org/%D8%A8%D9%84%D8%AF%D9%8A%D8%A9_%D8%A7%D9%84%D8%AD%D9%85%D8%A7%D9%85%D8%A7%D8%AA_(%D8%A7%D9%84%D8%AC%D8%B2%D8%A7%D8%A6%D8%B1)" xr:uid="{00000000-0004-0000-0100-00002D000000}"/>
    <hyperlink ref="B65" r:id="rId47" tooltip="بابا حسن (الصفحة غير موجودة)" display="https://www.marefa.org/index.php?title=%D8%A8%D8%A7%D8%A8%D8%A7_%D8%AD%D8%B3%D9%86&amp;action=edit&amp;redlink=1" xr:uid="{00000000-0004-0000-0100-00002E000000}"/>
    <hyperlink ref="B66" r:id="rId48" tooltip="دويرة (الصفحة غير موجودة)" display="https://www.marefa.org/index.php?title=%D8%AF%D9%88%D9%8A%D8%B1%D8%A9&amp;action=edit&amp;redlink=1" xr:uid="{00000000-0004-0000-0100-00002F000000}"/>
    <hyperlink ref="B67" r:id="rId49" tooltip="الدرارية (الصفحة غير موجودة)" display="https://www.marefa.org/index.php?title=%D8%A7%D9%84%D8%AF%D8%B1%D8%A7%D8%B1%D9%8A%D8%A9&amp;action=edit&amp;redlink=1" xr:uid="{00000000-0004-0000-0100-000030000000}"/>
    <hyperlink ref="B68" r:id="rId50" tooltip="العاشور (الصفحة غير موجودة)" display="https://www.marefa.org/index.php?title=%D8%A7%D9%84%D8%B9%D8%A7%D8%B4%D9%88%D8%B1&amp;action=edit&amp;redlink=1" xr:uid="{00000000-0004-0000-0100-000031000000}"/>
    <hyperlink ref="B69" r:id="rId51" tooltip="خرايسية (الصفحة غير موجودة)" display="https://www.marefa.org/index.php?title=%D8%AE%D8%B1%D8%A7%D9%8A%D8%B3%D9%8A%D8%A9&amp;action=edit&amp;redlink=1" xr:uid="{00000000-0004-0000-0100-000032000000}"/>
    <hyperlink ref="B71" r:id="rId52" tooltip="بئر توتة (الصفحة غير موجودة)" display="https://www.marefa.org/index.php?title=%D8%A8%D8%A6%D8%B1_%D8%AA%D9%88%D8%AA%D8%A9&amp;action=edit&amp;redlink=1" xr:uid="{00000000-0004-0000-0100-000033000000}"/>
    <hyperlink ref="B72" r:id="rId53" tooltip="أولاد شبل (الصفحة غير موجودة)" display="https://www.marefa.org/index.php?title=%D8%A3%D9%88%D9%84%D8%A7%D8%AF_%D8%B4%D8%A8%D9%84&amp;action=edit&amp;redlink=1" xr:uid="{00000000-0004-0000-0100-000034000000}"/>
    <hyperlink ref="B73" r:id="rId54" tooltip="تسالة المرجة" display="https://www.marefa.org/%D8%AA%D8%B3%D8%A7%D9%84%D8%A9_%D8%A7%D9%84%D9%85%D8%B1%D8%AC%D8%A9" xr:uid="{00000000-0004-0000-0100-000035000000}"/>
  </hyperlinks>
  <pageMargins left="0.7" right="0.7" top="0.75" bottom="0.75" header="0.3" footer="0.3"/>
  <pageSetup paperSize="9" orientation="portrait" verticalDpi="0" r:id="rId5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25"/>
  <sheetViews>
    <sheetView rightToLeft="1" workbookViewId="0">
      <selection activeCell="E24" sqref="E24"/>
    </sheetView>
  </sheetViews>
  <sheetFormatPr baseColWidth="10" defaultRowHeight="15" x14ac:dyDescent="0.25"/>
  <cols>
    <col min="1" max="1" width="6.85546875" customWidth="1"/>
    <col min="4" max="4" width="21.42578125" customWidth="1"/>
  </cols>
  <sheetData>
    <row r="2" spans="1:7" ht="18.75" x14ac:dyDescent="0.25">
      <c r="A2" s="55" t="s">
        <v>80</v>
      </c>
      <c r="B2" s="57" t="s">
        <v>81</v>
      </c>
      <c r="C2" s="58"/>
      <c r="D2" s="55" t="s">
        <v>82</v>
      </c>
      <c r="E2" s="61" t="s">
        <v>76</v>
      </c>
      <c r="F2" s="62"/>
      <c r="G2" s="63"/>
    </row>
    <row r="3" spans="1:7" ht="18.75" x14ac:dyDescent="0.25">
      <c r="A3" s="56"/>
      <c r="B3" s="59"/>
      <c r="C3" s="60"/>
      <c r="D3" s="56"/>
      <c r="E3" s="16" t="s">
        <v>77</v>
      </c>
      <c r="F3" s="16" t="s">
        <v>78</v>
      </c>
      <c r="G3" s="16" t="s">
        <v>79</v>
      </c>
    </row>
    <row r="4" spans="1:7" x14ac:dyDescent="0.25">
      <c r="A4" s="29">
        <v>1</v>
      </c>
      <c r="B4" s="64" t="s">
        <v>84</v>
      </c>
      <c r="C4" s="65" t="s">
        <v>84</v>
      </c>
      <c r="D4" s="25" t="s">
        <v>83</v>
      </c>
      <c r="E4" s="27">
        <v>5</v>
      </c>
      <c r="F4" s="27">
        <v>7</v>
      </c>
      <c r="G4" s="27">
        <f t="shared" ref="G4:G25" si="0">SUM(E4:F4)</f>
        <v>12</v>
      </c>
    </row>
    <row r="5" spans="1:7" x14ac:dyDescent="0.25">
      <c r="A5" s="29">
        <v>2</v>
      </c>
      <c r="B5" s="64" t="s">
        <v>86</v>
      </c>
      <c r="C5" s="65" t="s">
        <v>86</v>
      </c>
      <c r="D5" s="25" t="s">
        <v>85</v>
      </c>
      <c r="E5" s="27">
        <v>10</v>
      </c>
      <c r="F5" s="27" t="s">
        <v>240</v>
      </c>
      <c r="G5" s="27">
        <f t="shared" si="0"/>
        <v>10</v>
      </c>
    </row>
    <row r="6" spans="1:7" x14ac:dyDescent="0.25">
      <c r="A6" s="29">
        <v>3</v>
      </c>
      <c r="B6" s="64" t="s">
        <v>88</v>
      </c>
      <c r="C6" s="65" t="s">
        <v>88</v>
      </c>
      <c r="D6" s="25" t="s">
        <v>87</v>
      </c>
      <c r="E6" s="27">
        <v>13</v>
      </c>
      <c r="F6" s="27" t="s">
        <v>240</v>
      </c>
      <c r="G6" s="27">
        <f t="shared" si="0"/>
        <v>13</v>
      </c>
    </row>
    <row r="7" spans="1:7" x14ac:dyDescent="0.25">
      <c r="A7" s="29">
        <v>4</v>
      </c>
      <c r="B7" s="64" t="s">
        <v>90</v>
      </c>
      <c r="C7" s="65" t="s">
        <v>90</v>
      </c>
      <c r="D7" s="25" t="s">
        <v>89</v>
      </c>
      <c r="E7" s="27" t="s">
        <v>240</v>
      </c>
      <c r="F7" s="27">
        <v>11</v>
      </c>
      <c r="G7" s="27">
        <f t="shared" si="0"/>
        <v>11</v>
      </c>
    </row>
    <row r="8" spans="1:7" x14ac:dyDescent="0.25">
      <c r="A8" s="29">
        <v>5</v>
      </c>
      <c r="B8" s="64" t="s">
        <v>92</v>
      </c>
      <c r="C8" s="65" t="s">
        <v>92</v>
      </c>
      <c r="D8" s="25" t="s">
        <v>91</v>
      </c>
      <c r="E8" s="27">
        <v>7</v>
      </c>
      <c r="F8" s="27" t="s">
        <v>240</v>
      </c>
      <c r="G8" s="27">
        <f t="shared" si="0"/>
        <v>7</v>
      </c>
    </row>
    <row r="9" spans="1:7" x14ac:dyDescent="0.25">
      <c r="A9" s="29">
        <v>6</v>
      </c>
      <c r="B9" s="64" t="s">
        <v>94</v>
      </c>
      <c r="C9" s="65" t="s">
        <v>94</v>
      </c>
      <c r="D9" s="25" t="s">
        <v>93</v>
      </c>
      <c r="E9" s="27">
        <v>7</v>
      </c>
      <c r="F9" s="27">
        <v>6</v>
      </c>
      <c r="G9" s="27">
        <f t="shared" si="0"/>
        <v>13</v>
      </c>
    </row>
    <row r="10" spans="1:7" x14ac:dyDescent="0.25">
      <c r="A10" s="29">
        <v>7</v>
      </c>
      <c r="B10" s="64" t="s">
        <v>96</v>
      </c>
      <c r="C10" s="65" t="s">
        <v>96</v>
      </c>
      <c r="D10" s="25" t="s">
        <v>95</v>
      </c>
      <c r="E10" s="27">
        <v>4</v>
      </c>
      <c r="F10" s="27">
        <v>4</v>
      </c>
      <c r="G10" s="27">
        <f t="shared" si="0"/>
        <v>8</v>
      </c>
    </row>
    <row r="11" spans="1:7" x14ac:dyDescent="0.25">
      <c r="A11" s="29">
        <v>8</v>
      </c>
      <c r="B11" s="64" t="s">
        <v>98</v>
      </c>
      <c r="C11" s="65" t="s">
        <v>98</v>
      </c>
      <c r="D11" s="25" t="s">
        <v>97</v>
      </c>
      <c r="E11" s="27" t="s">
        <v>240</v>
      </c>
      <c r="F11" s="27">
        <v>11</v>
      </c>
      <c r="G11" s="27">
        <f t="shared" si="0"/>
        <v>11</v>
      </c>
    </row>
    <row r="12" spans="1:7" x14ac:dyDescent="0.25">
      <c r="A12" s="29">
        <v>9</v>
      </c>
      <c r="B12" s="64" t="s">
        <v>99</v>
      </c>
      <c r="C12" s="65" t="s">
        <v>99</v>
      </c>
      <c r="D12" s="25" t="s">
        <v>97</v>
      </c>
      <c r="E12" s="27">
        <v>11</v>
      </c>
      <c r="F12" s="27" t="s">
        <v>240</v>
      </c>
      <c r="G12" s="27">
        <f t="shared" si="0"/>
        <v>11</v>
      </c>
    </row>
    <row r="13" spans="1:7" x14ac:dyDescent="0.25">
      <c r="A13" s="29">
        <v>10</v>
      </c>
      <c r="B13" s="64" t="s">
        <v>101</v>
      </c>
      <c r="C13" s="65" t="s">
        <v>101</v>
      </c>
      <c r="D13" s="25" t="s">
        <v>100</v>
      </c>
      <c r="E13" s="27">
        <v>7</v>
      </c>
      <c r="F13" s="27">
        <v>7</v>
      </c>
      <c r="G13" s="27">
        <f t="shared" si="0"/>
        <v>14</v>
      </c>
    </row>
    <row r="14" spans="1:7" x14ac:dyDescent="0.25">
      <c r="A14" s="29">
        <v>11</v>
      </c>
      <c r="B14" s="64" t="s">
        <v>103</v>
      </c>
      <c r="C14" s="65" t="s">
        <v>103</v>
      </c>
      <c r="D14" s="25" t="s">
        <v>102</v>
      </c>
      <c r="E14" s="27" t="s">
        <v>240</v>
      </c>
      <c r="F14" s="27">
        <v>4</v>
      </c>
      <c r="G14" s="27">
        <f t="shared" si="0"/>
        <v>4</v>
      </c>
    </row>
    <row r="15" spans="1:7" x14ac:dyDescent="0.25">
      <c r="A15" s="29">
        <v>12</v>
      </c>
      <c r="B15" s="64" t="s">
        <v>105</v>
      </c>
      <c r="C15" s="65" t="s">
        <v>105</v>
      </c>
      <c r="D15" s="25" t="s">
        <v>104</v>
      </c>
      <c r="E15" s="27">
        <v>3</v>
      </c>
      <c r="F15" s="27">
        <v>2</v>
      </c>
      <c r="G15" s="27">
        <f t="shared" si="0"/>
        <v>5</v>
      </c>
    </row>
    <row r="16" spans="1:7" x14ac:dyDescent="0.25">
      <c r="A16" s="29">
        <v>13</v>
      </c>
      <c r="B16" s="64" t="s">
        <v>107</v>
      </c>
      <c r="C16" s="65" t="s">
        <v>107</v>
      </c>
      <c r="D16" s="25" t="s">
        <v>106</v>
      </c>
      <c r="E16" s="27">
        <v>4</v>
      </c>
      <c r="F16" s="27">
        <v>3</v>
      </c>
      <c r="G16" s="27">
        <f t="shared" si="0"/>
        <v>7</v>
      </c>
    </row>
    <row r="17" spans="1:7" x14ac:dyDescent="0.25">
      <c r="A17" s="29">
        <v>14</v>
      </c>
      <c r="B17" s="64" t="s">
        <v>109</v>
      </c>
      <c r="C17" s="65" t="s">
        <v>109</v>
      </c>
      <c r="D17" s="25" t="s">
        <v>108</v>
      </c>
      <c r="E17" s="27">
        <v>10</v>
      </c>
      <c r="F17" s="27" t="s">
        <v>240</v>
      </c>
      <c r="G17" s="27">
        <f t="shared" si="0"/>
        <v>10</v>
      </c>
    </row>
    <row r="18" spans="1:7" x14ac:dyDescent="0.25">
      <c r="A18" s="29">
        <v>15</v>
      </c>
      <c r="B18" s="64" t="s">
        <v>110</v>
      </c>
      <c r="C18" s="65" t="s">
        <v>110</v>
      </c>
      <c r="D18" s="25" t="s">
        <v>91</v>
      </c>
      <c r="E18" s="27" t="s">
        <v>240</v>
      </c>
      <c r="F18" s="27">
        <v>12</v>
      </c>
      <c r="G18" s="27">
        <f t="shared" si="0"/>
        <v>12</v>
      </c>
    </row>
    <row r="19" spans="1:7" x14ac:dyDescent="0.25">
      <c r="A19" s="29">
        <v>16</v>
      </c>
      <c r="B19" s="64" t="s">
        <v>112</v>
      </c>
      <c r="C19" s="65" t="s">
        <v>112</v>
      </c>
      <c r="D19" s="25" t="s">
        <v>111</v>
      </c>
      <c r="E19" s="27">
        <v>4</v>
      </c>
      <c r="F19" s="27">
        <v>3</v>
      </c>
      <c r="G19" s="27">
        <f t="shared" si="0"/>
        <v>7</v>
      </c>
    </row>
    <row r="20" spans="1:7" x14ac:dyDescent="0.25">
      <c r="A20" s="29">
        <v>17</v>
      </c>
      <c r="B20" s="64" t="s">
        <v>113</v>
      </c>
      <c r="C20" s="65" t="s">
        <v>113</v>
      </c>
      <c r="D20" s="25" t="s">
        <v>100</v>
      </c>
      <c r="E20" s="27">
        <v>4</v>
      </c>
      <c r="F20" s="27">
        <v>2</v>
      </c>
      <c r="G20" s="27">
        <f t="shared" si="0"/>
        <v>6</v>
      </c>
    </row>
    <row r="21" spans="1:7" x14ac:dyDescent="0.25">
      <c r="A21" s="29">
        <v>18</v>
      </c>
      <c r="B21" s="64" t="s">
        <v>114</v>
      </c>
      <c r="C21" s="65" t="s">
        <v>114</v>
      </c>
      <c r="D21" s="25" t="s">
        <v>93</v>
      </c>
      <c r="E21" s="27">
        <v>2</v>
      </c>
      <c r="F21" s="27">
        <v>2</v>
      </c>
      <c r="G21" s="27">
        <f t="shared" si="0"/>
        <v>4</v>
      </c>
    </row>
    <row r="22" spans="1:7" x14ac:dyDescent="0.25">
      <c r="A22" s="29">
        <v>19</v>
      </c>
      <c r="B22" s="64" t="s">
        <v>116</v>
      </c>
      <c r="C22" s="65" t="s">
        <v>116</v>
      </c>
      <c r="D22" s="25" t="s">
        <v>115</v>
      </c>
      <c r="E22" s="27" t="s">
        <v>240</v>
      </c>
      <c r="F22" s="27">
        <v>10</v>
      </c>
      <c r="G22" s="27">
        <f t="shared" si="0"/>
        <v>10</v>
      </c>
    </row>
    <row r="23" spans="1:7" x14ac:dyDescent="0.25">
      <c r="A23" s="29">
        <v>20</v>
      </c>
      <c r="B23" s="64" t="s">
        <v>117</v>
      </c>
      <c r="C23" s="65" t="s">
        <v>117</v>
      </c>
      <c r="D23" s="25" t="s">
        <v>238</v>
      </c>
      <c r="E23" s="27">
        <v>4</v>
      </c>
      <c r="F23" s="27">
        <v>3</v>
      </c>
      <c r="G23" s="27">
        <f t="shared" si="0"/>
        <v>7</v>
      </c>
    </row>
    <row r="24" spans="1:7" x14ac:dyDescent="0.25">
      <c r="A24" s="29">
        <v>21</v>
      </c>
      <c r="B24" s="64" t="s">
        <v>118</v>
      </c>
      <c r="C24" s="65" t="s">
        <v>118</v>
      </c>
      <c r="D24" s="25" t="s">
        <v>239</v>
      </c>
      <c r="E24" s="27">
        <v>10</v>
      </c>
      <c r="F24" s="27" t="s">
        <v>240</v>
      </c>
      <c r="G24" s="27">
        <f t="shared" si="0"/>
        <v>10</v>
      </c>
    </row>
    <row r="25" spans="1:7" x14ac:dyDescent="0.25">
      <c r="A25" s="66" t="s">
        <v>71</v>
      </c>
      <c r="B25" s="67"/>
      <c r="C25" s="67"/>
      <c r="D25" s="68"/>
      <c r="E25" s="27">
        <f>SUM(E4:E24)</f>
        <v>105</v>
      </c>
      <c r="F25" s="27">
        <f>SUM(F4:F24)</f>
        <v>87</v>
      </c>
      <c r="G25" s="27">
        <f t="shared" si="0"/>
        <v>192</v>
      </c>
    </row>
  </sheetData>
  <mergeCells count="26">
    <mergeCell ref="A25:D25"/>
    <mergeCell ref="B20:C20"/>
    <mergeCell ref="B21:C21"/>
    <mergeCell ref="B22:C22"/>
    <mergeCell ref="B23:C23"/>
    <mergeCell ref="B24:C24"/>
    <mergeCell ref="B15:C15"/>
    <mergeCell ref="B16:C16"/>
    <mergeCell ref="B17:C17"/>
    <mergeCell ref="B18:C18"/>
    <mergeCell ref="B19:C19"/>
    <mergeCell ref="B10:C10"/>
    <mergeCell ref="B11:C11"/>
    <mergeCell ref="B12:C12"/>
    <mergeCell ref="B13:C13"/>
    <mergeCell ref="B14:C14"/>
    <mergeCell ref="B5:C5"/>
    <mergeCell ref="B6:C6"/>
    <mergeCell ref="B7:C7"/>
    <mergeCell ref="B8:C8"/>
    <mergeCell ref="B9:C9"/>
    <mergeCell ref="A2:A3"/>
    <mergeCell ref="B2:C3"/>
    <mergeCell ref="D2:D3"/>
    <mergeCell ref="E2:G2"/>
    <mergeCell ref="B4:C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F059A-D1F4-4184-9496-C1F9D6C57A86}">
  <dimension ref="A2:G27"/>
  <sheetViews>
    <sheetView rightToLeft="1" workbookViewId="0">
      <selection activeCell="D29" sqref="D29"/>
    </sheetView>
  </sheetViews>
  <sheetFormatPr baseColWidth="10" defaultRowHeight="15" x14ac:dyDescent="0.25"/>
  <cols>
    <col min="1" max="1" width="6.85546875" customWidth="1"/>
    <col min="3" max="3" width="20.140625" customWidth="1"/>
    <col min="4" max="4" width="21.42578125" customWidth="1"/>
  </cols>
  <sheetData>
    <row r="2" spans="1:7" ht="18.75" x14ac:dyDescent="0.25">
      <c r="A2" s="55" t="s">
        <v>80</v>
      </c>
      <c r="B2" s="57" t="s">
        <v>81</v>
      </c>
      <c r="C2" s="58"/>
      <c r="D2" s="55" t="s">
        <v>82</v>
      </c>
      <c r="E2" s="61" t="s">
        <v>76</v>
      </c>
      <c r="F2" s="62"/>
      <c r="G2" s="63"/>
    </row>
    <row r="3" spans="1:7" ht="18.75" x14ac:dyDescent="0.25">
      <c r="A3" s="56"/>
      <c r="B3" s="59"/>
      <c r="C3" s="60"/>
      <c r="D3" s="56"/>
      <c r="E3" s="16" t="s">
        <v>77</v>
      </c>
      <c r="F3" s="16" t="s">
        <v>78</v>
      </c>
      <c r="G3" s="16" t="s">
        <v>79</v>
      </c>
    </row>
    <row r="4" spans="1:7" x14ac:dyDescent="0.25">
      <c r="A4" s="29">
        <v>1</v>
      </c>
      <c r="B4" s="64" t="s">
        <v>241</v>
      </c>
      <c r="C4" s="65" t="s">
        <v>241</v>
      </c>
      <c r="D4" s="25" t="s">
        <v>265</v>
      </c>
      <c r="E4" s="27">
        <v>11</v>
      </c>
      <c r="F4" s="27">
        <v>0</v>
      </c>
      <c r="G4" s="27">
        <f t="shared" ref="G4:G27" si="0">SUM(E4:F4)</f>
        <v>11</v>
      </c>
    </row>
    <row r="5" spans="1:7" x14ac:dyDescent="0.25">
      <c r="A5" s="29">
        <v>2</v>
      </c>
      <c r="B5" s="64" t="s">
        <v>242</v>
      </c>
      <c r="C5" s="65" t="s">
        <v>242</v>
      </c>
      <c r="D5" s="25" t="s">
        <v>266</v>
      </c>
      <c r="E5" s="27">
        <v>6</v>
      </c>
      <c r="F5" s="27">
        <v>6</v>
      </c>
      <c r="G5" s="27">
        <f t="shared" si="0"/>
        <v>12</v>
      </c>
    </row>
    <row r="6" spans="1:7" x14ac:dyDescent="0.25">
      <c r="A6" s="29">
        <v>3</v>
      </c>
      <c r="B6" s="64" t="s">
        <v>243</v>
      </c>
      <c r="C6" s="65" t="s">
        <v>243</v>
      </c>
      <c r="D6" s="25" t="s">
        <v>267</v>
      </c>
      <c r="E6" s="27">
        <v>3</v>
      </c>
      <c r="F6" s="27">
        <v>3</v>
      </c>
      <c r="G6" s="27">
        <f t="shared" si="0"/>
        <v>6</v>
      </c>
    </row>
    <row r="7" spans="1:7" x14ac:dyDescent="0.25">
      <c r="A7" s="29">
        <v>4</v>
      </c>
      <c r="B7" s="64" t="s">
        <v>244</v>
      </c>
      <c r="C7" s="65" t="s">
        <v>244</v>
      </c>
      <c r="D7" s="25" t="s">
        <v>268</v>
      </c>
      <c r="E7" s="27">
        <v>7</v>
      </c>
      <c r="F7" s="27">
        <v>5</v>
      </c>
      <c r="G7" s="27">
        <f t="shared" si="0"/>
        <v>12</v>
      </c>
    </row>
    <row r="8" spans="1:7" x14ac:dyDescent="0.25">
      <c r="A8" s="29">
        <v>5</v>
      </c>
      <c r="B8" s="64" t="s">
        <v>245</v>
      </c>
      <c r="C8" s="65" t="s">
        <v>245</v>
      </c>
      <c r="D8" s="25" t="s">
        <v>269</v>
      </c>
      <c r="E8" s="27">
        <v>4</v>
      </c>
      <c r="F8" s="27">
        <v>2</v>
      </c>
      <c r="G8" s="27">
        <f t="shared" si="0"/>
        <v>6</v>
      </c>
    </row>
    <row r="9" spans="1:7" x14ac:dyDescent="0.25">
      <c r="A9" s="29">
        <v>6</v>
      </c>
      <c r="B9" s="64" t="s">
        <v>246</v>
      </c>
      <c r="C9" s="65" t="s">
        <v>246</v>
      </c>
      <c r="D9" s="25" t="s">
        <v>270</v>
      </c>
      <c r="E9" s="27">
        <v>0</v>
      </c>
      <c r="F9" s="27">
        <v>7</v>
      </c>
      <c r="G9" s="27">
        <f t="shared" si="0"/>
        <v>7</v>
      </c>
    </row>
    <row r="10" spans="1:7" x14ac:dyDescent="0.25">
      <c r="A10" s="29">
        <v>7</v>
      </c>
      <c r="B10" s="64" t="s">
        <v>247</v>
      </c>
      <c r="C10" s="65" t="s">
        <v>247</v>
      </c>
      <c r="D10" s="25" t="s">
        <v>271</v>
      </c>
      <c r="E10" s="27">
        <v>3</v>
      </c>
      <c r="F10" s="27">
        <v>3</v>
      </c>
      <c r="G10" s="27">
        <f t="shared" si="0"/>
        <v>6</v>
      </c>
    </row>
    <row r="11" spans="1:7" x14ac:dyDescent="0.25">
      <c r="A11" s="29">
        <v>8</v>
      </c>
      <c r="B11" s="64" t="s">
        <v>248</v>
      </c>
      <c r="C11" s="65" t="s">
        <v>248</v>
      </c>
      <c r="D11" s="25" t="s">
        <v>272</v>
      </c>
      <c r="E11" s="27">
        <v>4</v>
      </c>
      <c r="F11" s="27">
        <v>4</v>
      </c>
      <c r="G11" s="27">
        <f t="shared" si="0"/>
        <v>8</v>
      </c>
    </row>
    <row r="12" spans="1:7" x14ac:dyDescent="0.25">
      <c r="A12" s="29">
        <v>9</v>
      </c>
      <c r="B12" s="64" t="s">
        <v>249</v>
      </c>
      <c r="C12" s="65" t="s">
        <v>249</v>
      </c>
      <c r="D12" s="25" t="s">
        <v>273</v>
      </c>
      <c r="E12" s="27">
        <v>12</v>
      </c>
      <c r="F12" s="27">
        <v>0</v>
      </c>
      <c r="G12" s="27">
        <f t="shared" si="0"/>
        <v>12</v>
      </c>
    </row>
    <row r="13" spans="1:7" x14ac:dyDescent="0.25">
      <c r="A13" s="29">
        <v>10</v>
      </c>
      <c r="B13" s="64" t="s">
        <v>250</v>
      </c>
      <c r="C13" s="65" t="s">
        <v>250</v>
      </c>
      <c r="D13" s="25" t="s">
        <v>274</v>
      </c>
      <c r="E13" s="27">
        <v>6</v>
      </c>
      <c r="F13" s="27">
        <v>6</v>
      </c>
      <c r="G13" s="27">
        <f t="shared" si="0"/>
        <v>12</v>
      </c>
    </row>
    <row r="14" spans="1:7" x14ac:dyDescent="0.25">
      <c r="A14" s="29">
        <v>11</v>
      </c>
      <c r="B14" s="64" t="s">
        <v>251</v>
      </c>
      <c r="C14" s="65" t="s">
        <v>251</v>
      </c>
      <c r="D14" s="25" t="s">
        <v>275</v>
      </c>
      <c r="E14" s="27">
        <v>3</v>
      </c>
      <c r="F14" s="27">
        <v>3</v>
      </c>
      <c r="G14" s="27">
        <f t="shared" si="0"/>
        <v>6</v>
      </c>
    </row>
    <row r="15" spans="1:7" x14ac:dyDescent="0.25">
      <c r="A15" s="29">
        <v>12</v>
      </c>
      <c r="B15" s="64" t="s">
        <v>252</v>
      </c>
      <c r="C15" s="65" t="s">
        <v>252</v>
      </c>
      <c r="D15" s="25" t="s">
        <v>276</v>
      </c>
      <c r="E15" s="27">
        <v>5</v>
      </c>
      <c r="F15" s="27">
        <v>7</v>
      </c>
      <c r="G15" s="27">
        <f t="shared" si="0"/>
        <v>12</v>
      </c>
    </row>
    <row r="16" spans="1:7" x14ac:dyDescent="0.25">
      <c r="A16" s="29">
        <v>13</v>
      </c>
      <c r="B16" s="64" t="s">
        <v>253</v>
      </c>
      <c r="C16" s="65" t="s">
        <v>253</v>
      </c>
      <c r="D16" s="25" t="s">
        <v>104</v>
      </c>
      <c r="E16" s="27">
        <v>3</v>
      </c>
      <c r="F16" s="27">
        <v>3</v>
      </c>
      <c r="G16" s="27">
        <f t="shared" si="0"/>
        <v>6</v>
      </c>
    </row>
    <row r="17" spans="1:7" x14ac:dyDescent="0.25">
      <c r="A17" s="29">
        <v>14</v>
      </c>
      <c r="B17" s="64" t="s">
        <v>254</v>
      </c>
      <c r="C17" s="65" t="s">
        <v>254</v>
      </c>
      <c r="D17" s="25" t="s">
        <v>277</v>
      </c>
      <c r="E17" s="27">
        <v>0</v>
      </c>
      <c r="F17" s="27">
        <v>8</v>
      </c>
      <c r="G17" s="27">
        <f t="shared" si="0"/>
        <v>8</v>
      </c>
    </row>
    <row r="18" spans="1:7" x14ac:dyDescent="0.25">
      <c r="A18" s="29">
        <v>15</v>
      </c>
      <c r="B18" s="64" t="s">
        <v>255</v>
      </c>
      <c r="C18" s="65" t="s">
        <v>255</v>
      </c>
      <c r="D18" s="25" t="s">
        <v>278</v>
      </c>
      <c r="E18" s="27">
        <v>5</v>
      </c>
      <c r="F18" s="27">
        <v>5</v>
      </c>
      <c r="G18" s="27">
        <f t="shared" si="0"/>
        <v>10</v>
      </c>
    </row>
    <row r="19" spans="1:7" x14ac:dyDescent="0.25">
      <c r="A19" s="29">
        <v>16</v>
      </c>
      <c r="B19" s="64" t="s">
        <v>256</v>
      </c>
      <c r="C19" s="65" t="s">
        <v>256</v>
      </c>
      <c r="D19" s="25" t="s">
        <v>279</v>
      </c>
      <c r="E19" s="27">
        <v>7</v>
      </c>
      <c r="F19" s="27">
        <v>5</v>
      </c>
      <c r="G19" s="27">
        <f t="shared" si="0"/>
        <v>12</v>
      </c>
    </row>
    <row r="20" spans="1:7" x14ac:dyDescent="0.25">
      <c r="A20" s="29">
        <v>17</v>
      </c>
      <c r="B20" s="64" t="s">
        <v>257</v>
      </c>
      <c r="C20" s="65" t="s">
        <v>257</v>
      </c>
      <c r="D20" s="25" t="s">
        <v>280</v>
      </c>
      <c r="E20" s="27">
        <v>6</v>
      </c>
      <c r="F20" s="27">
        <v>4</v>
      </c>
      <c r="G20" s="27">
        <f t="shared" si="0"/>
        <v>10</v>
      </c>
    </row>
    <row r="21" spans="1:7" x14ac:dyDescent="0.25">
      <c r="A21" s="29">
        <v>18</v>
      </c>
      <c r="B21" s="64" t="s">
        <v>258</v>
      </c>
      <c r="C21" s="65" t="s">
        <v>258</v>
      </c>
      <c r="D21" s="25" t="s">
        <v>281</v>
      </c>
      <c r="E21" s="27">
        <v>4</v>
      </c>
      <c r="F21" s="27">
        <v>4</v>
      </c>
      <c r="G21" s="27">
        <f t="shared" si="0"/>
        <v>8</v>
      </c>
    </row>
    <row r="22" spans="1:7" x14ac:dyDescent="0.25">
      <c r="A22" s="29">
        <v>19</v>
      </c>
      <c r="B22" s="64" t="s">
        <v>259</v>
      </c>
      <c r="C22" s="65" t="s">
        <v>259</v>
      </c>
      <c r="D22" s="25" t="s">
        <v>273</v>
      </c>
      <c r="E22" s="27">
        <v>0</v>
      </c>
      <c r="F22" s="27">
        <v>12</v>
      </c>
      <c r="G22" s="27">
        <f t="shared" si="0"/>
        <v>12</v>
      </c>
    </row>
    <row r="23" spans="1:7" x14ac:dyDescent="0.25">
      <c r="A23" s="29">
        <v>20</v>
      </c>
      <c r="B23" s="64" t="s">
        <v>260</v>
      </c>
      <c r="C23" s="65" t="s">
        <v>260</v>
      </c>
      <c r="D23" s="25" t="s">
        <v>282</v>
      </c>
      <c r="E23" s="27">
        <v>12</v>
      </c>
      <c r="F23" s="27">
        <v>0</v>
      </c>
      <c r="G23" s="27">
        <f t="shared" si="0"/>
        <v>12</v>
      </c>
    </row>
    <row r="24" spans="1:7" x14ac:dyDescent="0.25">
      <c r="A24" s="29">
        <v>21</v>
      </c>
      <c r="B24" s="30" t="s">
        <v>261</v>
      </c>
      <c r="C24" s="31" t="s">
        <v>261</v>
      </c>
      <c r="D24" s="25" t="s">
        <v>283</v>
      </c>
      <c r="E24" s="27">
        <v>5</v>
      </c>
      <c r="F24" s="27">
        <v>5</v>
      </c>
      <c r="G24" s="27">
        <f t="shared" si="0"/>
        <v>10</v>
      </c>
    </row>
    <row r="25" spans="1:7" x14ac:dyDescent="0.25">
      <c r="A25" s="29">
        <v>22</v>
      </c>
      <c r="B25" s="30" t="s">
        <v>262</v>
      </c>
      <c r="C25" s="31" t="s">
        <v>262</v>
      </c>
      <c r="D25" s="25" t="s">
        <v>284</v>
      </c>
      <c r="E25" s="27">
        <v>1</v>
      </c>
      <c r="F25" s="27">
        <v>1</v>
      </c>
      <c r="G25" s="27">
        <f t="shared" si="0"/>
        <v>2</v>
      </c>
    </row>
    <row r="26" spans="1:7" x14ac:dyDescent="0.25">
      <c r="A26" s="29">
        <v>23</v>
      </c>
      <c r="B26" s="64" t="s">
        <v>264</v>
      </c>
      <c r="C26" s="65" t="s">
        <v>263</v>
      </c>
      <c r="D26" s="25" t="s">
        <v>285</v>
      </c>
      <c r="E26" s="27">
        <v>3</v>
      </c>
      <c r="F26" s="27">
        <v>3</v>
      </c>
      <c r="G26" s="27">
        <f t="shared" si="0"/>
        <v>6</v>
      </c>
    </row>
    <row r="27" spans="1:7" x14ac:dyDescent="0.25">
      <c r="A27" s="66" t="s">
        <v>71</v>
      </c>
      <c r="B27" s="67"/>
      <c r="C27" s="67"/>
      <c r="D27" s="68"/>
      <c r="E27" s="27">
        <f>SUM(E4:E26)</f>
        <v>110</v>
      </c>
      <c r="F27" s="27">
        <f>SUM(F4:F26)</f>
        <v>96</v>
      </c>
      <c r="G27" s="27">
        <f t="shared" si="0"/>
        <v>206</v>
      </c>
    </row>
  </sheetData>
  <mergeCells count="26">
    <mergeCell ref="B26:C26"/>
    <mergeCell ref="A27:D27"/>
    <mergeCell ref="B18:C18"/>
    <mergeCell ref="B19:C19"/>
    <mergeCell ref="B20:C20"/>
    <mergeCell ref="B21:C21"/>
    <mergeCell ref="B22:C22"/>
    <mergeCell ref="B23:C23"/>
    <mergeCell ref="B17:C17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5:C5"/>
    <mergeCell ref="A2:A3"/>
    <mergeCell ref="B2:C3"/>
    <mergeCell ref="D2:D3"/>
    <mergeCell ref="E2:G2"/>
    <mergeCell ref="B4:C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A1E97-4248-4988-A5D5-CCE52737F8C0}">
  <dimension ref="A2:G12"/>
  <sheetViews>
    <sheetView rightToLeft="1" workbookViewId="0">
      <selection activeCell="D11" sqref="D11"/>
    </sheetView>
  </sheetViews>
  <sheetFormatPr baseColWidth="10" defaultRowHeight="15" x14ac:dyDescent="0.25"/>
  <cols>
    <col min="1" max="1" width="6.85546875" customWidth="1"/>
    <col min="3" max="3" width="20.140625" customWidth="1"/>
    <col min="4" max="4" width="21.42578125" customWidth="1"/>
  </cols>
  <sheetData>
    <row r="2" spans="1:7" ht="18.75" x14ac:dyDescent="0.25">
      <c r="A2" s="55" t="s">
        <v>80</v>
      </c>
      <c r="B2" s="57" t="s">
        <v>81</v>
      </c>
      <c r="C2" s="58"/>
      <c r="D2" s="55" t="s">
        <v>82</v>
      </c>
      <c r="E2" s="61" t="s">
        <v>76</v>
      </c>
      <c r="F2" s="62"/>
      <c r="G2" s="63"/>
    </row>
    <row r="3" spans="1:7" ht="18.75" x14ac:dyDescent="0.25">
      <c r="A3" s="56"/>
      <c r="B3" s="59"/>
      <c r="C3" s="60"/>
      <c r="D3" s="56"/>
      <c r="E3" s="16" t="s">
        <v>77</v>
      </c>
      <c r="F3" s="16" t="s">
        <v>78</v>
      </c>
      <c r="G3" s="16" t="s">
        <v>79</v>
      </c>
    </row>
    <row r="4" spans="1:7" x14ac:dyDescent="0.25">
      <c r="A4" s="29">
        <v>1</v>
      </c>
      <c r="B4" s="64" t="s">
        <v>286</v>
      </c>
      <c r="C4" s="65" t="s">
        <v>286</v>
      </c>
      <c r="D4" s="25" t="s">
        <v>293</v>
      </c>
      <c r="E4" s="27">
        <v>3</v>
      </c>
      <c r="F4" s="27">
        <v>2</v>
      </c>
      <c r="G4" s="27">
        <f t="shared" ref="G4:G12" si="0">SUM(E4:F4)</f>
        <v>5</v>
      </c>
    </row>
    <row r="5" spans="1:7" x14ac:dyDescent="0.25">
      <c r="A5" s="29">
        <v>2</v>
      </c>
      <c r="B5" s="64" t="s">
        <v>287</v>
      </c>
      <c r="C5" s="65" t="s">
        <v>287</v>
      </c>
      <c r="D5" s="25" t="s">
        <v>294</v>
      </c>
      <c r="E5" s="27">
        <v>5</v>
      </c>
      <c r="F5" s="27">
        <v>4</v>
      </c>
      <c r="G5" s="27">
        <f t="shared" si="0"/>
        <v>9</v>
      </c>
    </row>
    <row r="6" spans="1:7" x14ac:dyDescent="0.25">
      <c r="A6" s="29">
        <v>3</v>
      </c>
      <c r="B6" s="64" t="s">
        <v>288</v>
      </c>
      <c r="C6" s="65" t="s">
        <v>288</v>
      </c>
      <c r="D6" s="25" t="s">
        <v>295</v>
      </c>
      <c r="E6" s="27">
        <v>7</v>
      </c>
      <c r="F6" s="27">
        <v>6</v>
      </c>
      <c r="G6" s="27">
        <f t="shared" si="0"/>
        <v>13</v>
      </c>
    </row>
    <row r="7" spans="1:7" x14ac:dyDescent="0.25">
      <c r="A7" s="29">
        <v>4</v>
      </c>
      <c r="B7" s="64" t="s">
        <v>289</v>
      </c>
      <c r="C7" s="65" t="s">
        <v>289</v>
      </c>
      <c r="D7" s="25" t="s">
        <v>296</v>
      </c>
      <c r="E7" s="27">
        <v>4</v>
      </c>
      <c r="F7" s="27">
        <v>4</v>
      </c>
      <c r="G7" s="27">
        <f t="shared" si="0"/>
        <v>8</v>
      </c>
    </row>
    <row r="8" spans="1:7" x14ac:dyDescent="0.25">
      <c r="A8" s="29">
        <v>5</v>
      </c>
      <c r="B8" s="64" t="s">
        <v>290</v>
      </c>
      <c r="C8" s="65" t="s">
        <v>290</v>
      </c>
      <c r="D8" s="25" t="s">
        <v>281</v>
      </c>
      <c r="E8" s="27">
        <v>6</v>
      </c>
      <c r="F8" s="27">
        <v>5</v>
      </c>
      <c r="G8" s="27">
        <f t="shared" si="0"/>
        <v>11</v>
      </c>
    </row>
    <row r="9" spans="1:7" x14ac:dyDescent="0.25">
      <c r="A9" s="29">
        <v>6</v>
      </c>
      <c r="B9" s="64" t="s">
        <v>291</v>
      </c>
      <c r="C9" s="65" t="s">
        <v>291</v>
      </c>
      <c r="D9" s="25" t="s">
        <v>297</v>
      </c>
      <c r="E9" s="27">
        <v>4</v>
      </c>
      <c r="F9" s="27">
        <v>4</v>
      </c>
      <c r="G9" s="27">
        <f t="shared" si="0"/>
        <v>8</v>
      </c>
    </row>
    <row r="10" spans="1:7" x14ac:dyDescent="0.25">
      <c r="A10" s="29">
        <v>7</v>
      </c>
      <c r="B10" s="64" t="s">
        <v>292</v>
      </c>
      <c r="C10" s="65" t="s">
        <v>292</v>
      </c>
      <c r="D10" s="25" t="s">
        <v>298</v>
      </c>
      <c r="E10" s="27">
        <v>7</v>
      </c>
      <c r="F10" s="27">
        <v>6</v>
      </c>
      <c r="G10" s="27">
        <f t="shared" si="0"/>
        <v>13</v>
      </c>
    </row>
    <row r="11" spans="1:7" x14ac:dyDescent="0.25">
      <c r="A11" s="29">
        <v>8</v>
      </c>
      <c r="B11" s="64" t="s">
        <v>145</v>
      </c>
      <c r="C11" s="65" t="s">
        <v>145</v>
      </c>
      <c r="D11" s="25" t="s">
        <v>298</v>
      </c>
      <c r="E11" s="27">
        <v>7</v>
      </c>
      <c r="F11" s="27">
        <v>6</v>
      </c>
      <c r="G11" s="27">
        <f t="shared" si="0"/>
        <v>13</v>
      </c>
    </row>
    <row r="12" spans="1:7" x14ac:dyDescent="0.25">
      <c r="A12" s="66" t="s">
        <v>71</v>
      </c>
      <c r="B12" s="67"/>
      <c r="C12" s="67"/>
      <c r="D12" s="68"/>
      <c r="E12" s="27">
        <f>SUM(E4:E11)</f>
        <v>43</v>
      </c>
      <c r="F12" s="27">
        <f>SUM(F4:F11)</f>
        <v>37</v>
      </c>
      <c r="G12" s="27">
        <f t="shared" si="0"/>
        <v>80</v>
      </c>
    </row>
  </sheetData>
  <mergeCells count="13">
    <mergeCell ref="A12:D12"/>
    <mergeCell ref="B6:C6"/>
    <mergeCell ref="B7:C7"/>
    <mergeCell ref="B8:C8"/>
    <mergeCell ref="B9:C9"/>
    <mergeCell ref="B10:C10"/>
    <mergeCell ref="B11:C11"/>
    <mergeCell ref="B5:C5"/>
    <mergeCell ref="A2:A3"/>
    <mergeCell ref="B2:C3"/>
    <mergeCell ref="D2:D3"/>
    <mergeCell ref="E2:G2"/>
    <mergeCell ref="B4:C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18"/>
  <sheetViews>
    <sheetView rightToLeft="1" workbookViewId="0">
      <selection activeCell="B4" sqref="B4:C17"/>
    </sheetView>
  </sheetViews>
  <sheetFormatPr baseColWidth="10" defaultRowHeight="15" x14ac:dyDescent="0.25"/>
  <cols>
    <col min="1" max="1" width="6.140625" customWidth="1"/>
    <col min="4" max="4" width="22" customWidth="1"/>
  </cols>
  <sheetData>
    <row r="2" spans="1:7" ht="23.25" x14ac:dyDescent="0.25">
      <c r="A2" s="51" t="s">
        <v>80</v>
      </c>
      <c r="B2" s="69" t="s">
        <v>81</v>
      </c>
      <c r="C2" s="70"/>
      <c r="D2" s="51" t="s">
        <v>82</v>
      </c>
      <c r="E2" s="48" t="s">
        <v>76</v>
      </c>
      <c r="F2" s="49"/>
      <c r="G2" s="50"/>
    </row>
    <row r="3" spans="1:7" ht="18.75" x14ac:dyDescent="0.25">
      <c r="A3" s="52"/>
      <c r="B3" s="71"/>
      <c r="C3" s="72"/>
      <c r="D3" s="52"/>
      <c r="E3" s="16" t="s">
        <v>77</v>
      </c>
      <c r="F3" s="16" t="s">
        <v>78</v>
      </c>
      <c r="G3" s="16" t="s">
        <v>79</v>
      </c>
    </row>
    <row r="4" spans="1:7" x14ac:dyDescent="0.25">
      <c r="A4" s="25">
        <v>1</v>
      </c>
      <c r="B4" s="64" t="s">
        <v>120</v>
      </c>
      <c r="C4" s="65" t="s">
        <v>120</v>
      </c>
      <c r="D4" s="25" t="s">
        <v>119</v>
      </c>
      <c r="E4" s="27">
        <v>8</v>
      </c>
      <c r="F4" s="27">
        <v>0</v>
      </c>
      <c r="G4" s="27">
        <f t="shared" ref="G4:G18" si="0">SUM(E4:F4)</f>
        <v>8</v>
      </c>
    </row>
    <row r="5" spans="1:7" x14ac:dyDescent="0.25">
      <c r="A5" s="25">
        <v>2</v>
      </c>
      <c r="B5" s="64" t="s">
        <v>121</v>
      </c>
      <c r="C5" s="65" t="s">
        <v>121</v>
      </c>
      <c r="D5" s="25" t="s">
        <v>119</v>
      </c>
      <c r="E5" s="27">
        <v>6</v>
      </c>
      <c r="F5" s="27">
        <v>5</v>
      </c>
      <c r="G5" s="27">
        <f t="shared" si="0"/>
        <v>11</v>
      </c>
    </row>
    <row r="6" spans="1:7" x14ac:dyDescent="0.25">
      <c r="A6" s="25">
        <v>3</v>
      </c>
      <c r="B6" s="64" t="s">
        <v>122</v>
      </c>
      <c r="C6" s="65" t="s">
        <v>122</v>
      </c>
      <c r="D6" s="25" t="s">
        <v>119</v>
      </c>
      <c r="E6" s="27">
        <v>5</v>
      </c>
      <c r="F6" s="27">
        <v>5</v>
      </c>
      <c r="G6" s="27">
        <f t="shared" si="0"/>
        <v>10</v>
      </c>
    </row>
    <row r="7" spans="1:7" x14ac:dyDescent="0.25">
      <c r="A7" s="25">
        <v>4</v>
      </c>
      <c r="B7" s="64" t="s">
        <v>124</v>
      </c>
      <c r="C7" s="65" t="s">
        <v>124</v>
      </c>
      <c r="D7" s="25" t="s">
        <v>123</v>
      </c>
      <c r="E7" s="27">
        <v>6</v>
      </c>
      <c r="F7" s="27">
        <v>4</v>
      </c>
      <c r="G7" s="27">
        <f t="shared" si="0"/>
        <v>10</v>
      </c>
    </row>
    <row r="8" spans="1:7" x14ac:dyDescent="0.25">
      <c r="A8" s="25">
        <v>5</v>
      </c>
      <c r="B8" s="64" t="s">
        <v>126</v>
      </c>
      <c r="C8" s="65" t="s">
        <v>126</v>
      </c>
      <c r="D8" s="25" t="s">
        <v>125</v>
      </c>
      <c r="E8" s="27">
        <v>5</v>
      </c>
      <c r="F8" s="27">
        <v>5</v>
      </c>
      <c r="G8" s="27">
        <f t="shared" si="0"/>
        <v>10</v>
      </c>
    </row>
    <row r="9" spans="1:7" x14ac:dyDescent="0.25">
      <c r="A9" s="25">
        <v>6</v>
      </c>
      <c r="B9" s="64" t="s">
        <v>128</v>
      </c>
      <c r="C9" s="65" t="s">
        <v>128</v>
      </c>
      <c r="D9" s="25" t="s">
        <v>127</v>
      </c>
      <c r="E9" s="27">
        <v>4</v>
      </c>
      <c r="F9" s="27">
        <v>3</v>
      </c>
      <c r="G9" s="27">
        <f t="shared" si="0"/>
        <v>7</v>
      </c>
    </row>
    <row r="10" spans="1:7" x14ac:dyDescent="0.25">
      <c r="A10" s="25">
        <v>7</v>
      </c>
      <c r="B10" s="64" t="s">
        <v>130</v>
      </c>
      <c r="C10" s="65" t="s">
        <v>130</v>
      </c>
      <c r="D10" s="25" t="s">
        <v>129</v>
      </c>
      <c r="E10" s="27">
        <v>2</v>
      </c>
      <c r="F10" s="27">
        <v>2</v>
      </c>
      <c r="G10" s="27">
        <f t="shared" si="0"/>
        <v>4</v>
      </c>
    </row>
    <row r="11" spans="1:7" x14ac:dyDescent="0.25">
      <c r="A11" s="25">
        <v>8</v>
      </c>
      <c r="B11" s="64" t="s">
        <v>132</v>
      </c>
      <c r="C11" s="65" t="s">
        <v>132</v>
      </c>
      <c r="D11" s="25" t="s">
        <v>131</v>
      </c>
      <c r="E11" s="27">
        <v>3</v>
      </c>
      <c r="F11" s="27">
        <v>3</v>
      </c>
      <c r="G11" s="27">
        <f t="shared" si="0"/>
        <v>6</v>
      </c>
    </row>
    <row r="12" spans="1:7" x14ac:dyDescent="0.25">
      <c r="A12" s="25">
        <v>9</v>
      </c>
      <c r="B12" s="64" t="s">
        <v>133</v>
      </c>
      <c r="C12" s="65" t="s">
        <v>133</v>
      </c>
      <c r="D12" s="25" t="s">
        <v>119</v>
      </c>
      <c r="E12" s="27">
        <v>0</v>
      </c>
      <c r="F12" s="27">
        <v>5</v>
      </c>
      <c r="G12" s="27">
        <f t="shared" si="0"/>
        <v>5</v>
      </c>
    </row>
    <row r="13" spans="1:7" x14ac:dyDescent="0.25">
      <c r="A13" s="25">
        <v>10</v>
      </c>
      <c r="B13" s="64" t="s">
        <v>134</v>
      </c>
      <c r="C13" s="65" t="s">
        <v>134</v>
      </c>
      <c r="D13" s="25" t="s">
        <v>142</v>
      </c>
      <c r="E13" s="27">
        <v>6</v>
      </c>
      <c r="F13" s="27">
        <v>5</v>
      </c>
      <c r="G13" s="27">
        <f t="shared" si="0"/>
        <v>11</v>
      </c>
    </row>
    <row r="14" spans="1:7" x14ac:dyDescent="0.25">
      <c r="A14" s="25">
        <v>11</v>
      </c>
      <c r="B14" s="64" t="s">
        <v>136</v>
      </c>
      <c r="C14" s="65" t="s">
        <v>136</v>
      </c>
      <c r="D14" s="25" t="s">
        <v>135</v>
      </c>
      <c r="E14" s="27">
        <v>9</v>
      </c>
      <c r="F14" s="27">
        <v>4</v>
      </c>
      <c r="G14" s="27">
        <f t="shared" si="0"/>
        <v>13</v>
      </c>
    </row>
    <row r="15" spans="1:7" x14ac:dyDescent="0.25">
      <c r="A15" s="25">
        <v>12</v>
      </c>
      <c r="B15" s="64" t="s">
        <v>137</v>
      </c>
      <c r="C15" s="65" t="s">
        <v>137</v>
      </c>
      <c r="D15" s="25" t="s">
        <v>129</v>
      </c>
      <c r="E15" s="27">
        <v>2</v>
      </c>
      <c r="F15" s="27">
        <v>2</v>
      </c>
      <c r="G15" s="27">
        <f t="shared" si="0"/>
        <v>4</v>
      </c>
    </row>
    <row r="16" spans="1:7" x14ac:dyDescent="0.25">
      <c r="A16" s="25">
        <v>13</v>
      </c>
      <c r="B16" s="64" t="s">
        <v>139</v>
      </c>
      <c r="C16" s="65" t="s">
        <v>139</v>
      </c>
      <c r="D16" s="25" t="s">
        <v>138</v>
      </c>
      <c r="E16" s="27">
        <v>1</v>
      </c>
      <c r="F16" s="27">
        <v>1</v>
      </c>
      <c r="G16" s="27">
        <f t="shared" si="0"/>
        <v>2</v>
      </c>
    </row>
    <row r="17" spans="1:7" x14ac:dyDescent="0.25">
      <c r="A17" s="25">
        <v>14</v>
      </c>
      <c r="B17" s="64" t="s">
        <v>141</v>
      </c>
      <c r="C17" s="65" t="s">
        <v>141</v>
      </c>
      <c r="D17" s="25" t="s">
        <v>140</v>
      </c>
      <c r="E17" s="27">
        <v>2</v>
      </c>
      <c r="F17" s="27">
        <v>2</v>
      </c>
      <c r="G17" s="27">
        <f t="shared" si="0"/>
        <v>4</v>
      </c>
    </row>
    <row r="18" spans="1:7" x14ac:dyDescent="0.25">
      <c r="A18" s="73" t="s">
        <v>71</v>
      </c>
      <c r="B18" s="74"/>
      <c r="C18" s="74"/>
      <c r="D18" s="75"/>
      <c r="E18" s="32">
        <f>SUM(E4:E17)</f>
        <v>59</v>
      </c>
      <c r="F18" s="32">
        <f>SUM(F4:F17)</f>
        <v>46</v>
      </c>
      <c r="G18" s="32">
        <f t="shared" si="0"/>
        <v>105</v>
      </c>
    </row>
  </sheetData>
  <mergeCells count="19">
    <mergeCell ref="A18:D18"/>
    <mergeCell ref="B15:C15"/>
    <mergeCell ref="B16:C16"/>
    <mergeCell ref="B17:C17"/>
    <mergeCell ref="B10:C10"/>
    <mergeCell ref="B11:C11"/>
    <mergeCell ref="B12:C12"/>
    <mergeCell ref="B13:C13"/>
    <mergeCell ref="B14:C14"/>
    <mergeCell ref="B5:C5"/>
    <mergeCell ref="B6:C6"/>
    <mergeCell ref="B7:C7"/>
    <mergeCell ref="B8:C8"/>
    <mergeCell ref="B9:C9"/>
    <mergeCell ref="A2:A3"/>
    <mergeCell ref="B2:C3"/>
    <mergeCell ref="D2:D3"/>
    <mergeCell ref="E2:G2"/>
    <mergeCell ref="B4:C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CA913-01F7-4E13-B8D3-423C1E1A02C0}">
  <dimension ref="A2:G12"/>
  <sheetViews>
    <sheetView rightToLeft="1" workbookViewId="0">
      <selection activeCell="B4" sqref="B4:C11"/>
    </sheetView>
  </sheetViews>
  <sheetFormatPr baseColWidth="10" defaultRowHeight="15" x14ac:dyDescent="0.25"/>
  <cols>
    <col min="1" max="1" width="6.140625" customWidth="1"/>
    <col min="4" max="4" width="22" customWidth="1"/>
  </cols>
  <sheetData>
    <row r="2" spans="1:7" ht="23.25" x14ac:dyDescent="0.25">
      <c r="A2" s="51" t="s">
        <v>80</v>
      </c>
      <c r="B2" s="69" t="s">
        <v>81</v>
      </c>
      <c r="C2" s="70"/>
      <c r="D2" s="51" t="s">
        <v>82</v>
      </c>
      <c r="E2" s="48" t="s">
        <v>76</v>
      </c>
      <c r="F2" s="49"/>
      <c r="G2" s="50"/>
    </row>
    <row r="3" spans="1:7" ht="18.75" x14ac:dyDescent="0.25">
      <c r="A3" s="52"/>
      <c r="B3" s="71"/>
      <c r="C3" s="72"/>
      <c r="D3" s="52"/>
      <c r="E3" s="16" t="s">
        <v>77</v>
      </c>
      <c r="F3" s="16" t="s">
        <v>78</v>
      </c>
      <c r="G3" s="16" t="s">
        <v>79</v>
      </c>
    </row>
    <row r="4" spans="1:7" x14ac:dyDescent="0.25">
      <c r="A4" s="25">
        <v>1</v>
      </c>
      <c r="B4" s="64" t="s">
        <v>299</v>
      </c>
      <c r="C4" s="65" t="s">
        <v>299</v>
      </c>
      <c r="D4" s="25" t="s">
        <v>307</v>
      </c>
      <c r="E4" s="27">
        <v>4</v>
      </c>
      <c r="F4" s="27">
        <v>3</v>
      </c>
      <c r="G4" s="27">
        <f t="shared" ref="G4:G12" si="0">SUM(E4:F4)</f>
        <v>7</v>
      </c>
    </row>
    <row r="5" spans="1:7" x14ac:dyDescent="0.25">
      <c r="A5" s="25">
        <v>2</v>
      </c>
      <c r="B5" s="64" t="s">
        <v>300</v>
      </c>
      <c r="C5" s="65" t="s">
        <v>300</v>
      </c>
      <c r="D5" s="25" t="s">
        <v>119</v>
      </c>
      <c r="E5" s="27">
        <v>9</v>
      </c>
      <c r="F5" s="27">
        <v>0</v>
      </c>
      <c r="G5" s="27">
        <f t="shared" si="0"/>
        <v>9</v>
      </c>
    </row>
    <row r="6" spans="1:7" x14ac:dyDescent="0.25">
      <c r="A6" s="25">
        <v>3</v>
      </c>
      <c r="B6" s="64" t="s">
        <v>301</v>
      </c>
      <c r="C6" s="65" t="s">
        <v>301</v>
      </c>
      <c r="D6" s="25" t="s">
        <v>308</v>
      </c>
      <c r="E6" s="27">
        <v>5</v>
      </c>
      <c r="F6" s="27">
        <v>5</v>
      </c>
      <c r="G6" s="27">
        <f t="shared" si="0"/>
        <v>10</v>
      </c>
    </row>
    <row r="7" spans="1:7" x14ac:dyDescent="0.25">
      <c r="A7" s="25">
        <v>4</v>
      </c>
      <c r="B7" s="64" t="s">
        <v>302</v>
      </c>
      <c r="C7" s="65" t="s">
        <v>302</v>
      </c>
      <c r="D7" s="25" t="s">
        <v>308</v>
      </c>
      <c r="E7" s="27">
        <v>6</v>
      </c>
      <c r="F7" s="27">
        <v>5</v>
      </c>
      <c r="G7" s="27">
        <f t="shared" si="0"/>
        <v>11</v>
      </c>
    </row>
    <row r="8" spans="1:7" x14ac:dyDescent="0.25">
      <c r="A8" s="25">
        <v>5</v>
      </c>
      <c r="B8" s="64" t="s">
        <v>303</v>
      </c>
      <c r="C8" s="65" t="s">
        <v>303</v>
      </c>
      <c r="D8" s="25" t="s">
        <v>309</v>
      </c>
      <c r="E8" s="27">
        <v>0</v>
      </c>
      <c r="F8" s="27">
        <v>7</v>
      </c>
      <c r="G8" s="27">
        <f t="shared" si="0"/>
        <v>7</v>
      </c>
    </row>
    <row r="9" spans="1:7" x14ac:dyDescent="0.25">
      <c r="A9" s="25">
        <v>6</v>
      </c>
      <c r="B9" s="64" t="s">
        <v>304</v>
      </c>
      <c r="C9" s="65" t="s">
        <v>304</v>
      </c>
      <c r="D9" s="25" t="s">
        <v>310</v>
      </c>
      <c r="E9" s="27">
        <v>2</v>
      </c>
      <c r="F9" s="27">
        <v>2</v>
      </c>
      <c r="G9" s="27">
        <f t="shared" si="0"/>
        <v>4</v>
      </c>
    </row>
    <row r="10" spans="1:7" x14ac:dyDescent="0.25">
      <c r="A10" s="25">
        <v>7</v>
      </c>
      <c r="B10" s="64" t="s">
        <v>305</v>
      </c>
      <c r="C10" s="65" t="s">
        <v>305</v>
      </c>
      <c r="D10" s="25" t="s">
        <v>311</v>
      </c>
      <c r="E10" s="27">
        <v>2</v>
      </c>
      <c r="F10" s="27">
        <v>2</v>
      </c>
      <c r="G10" s="27">
        <f t="shared" si="0"/>
        <v>4</v>
      </c>
    </row>
    <row r="11" spans="1:7" x14ac:dyDescent="0.25">
      <c r="A11" s="25">
        <v>8</v>
      </c>
      <c r="B11" s="64" t="s">
        <v>306</v>
      </c>
      <c r="C11" s="65" t="s">
        <v>306</v>
      </c>
      <c r="D11" s="25" t="s">
        <v>312</v>
      </c>
      <c r="E11" s="27">
        <v>3</v>
      </c>
      <c r="F11" s="27">
        <v>3</v>
      </c>
      <c r="G11" s="27">
        <f t="shared" si="0"/>
        <v>6</v>
      </c>
    </row>
    <row r="12" spans="1:7" x14ac:dyDescent="0.25">
      <c r="A12" s="73" t="s">
        <v>71</v>
      </c>
      <c r="B12" s="74"/>
      <c r="C12" s="74"/>
      <c r="D12" s="75"/>
      <c r="E12" s="32">
        <f>SUM(E4:E11)</f>
        <v>31</v>
      </c>
      <c r="F12" s="32">
        <f>SUM(F4:F11)</f>
        <v>27</v>
      </c>
      <c r="G12" s="32">
        <f t="shared" si="0"/>
        <v>58</v>
      </c>
    </row>
  </sheetData>
  <mergeCells count="13">
    <mergeCell ref="A12:D12"/>
    <mergeCell ref="B8:C8"/>
    <mergeCell ref="B6:C6"/>
    <mergeCell ref="B7:C7"/>
    <mergeCell ref="B11:C11"/>
    <mergeCell ref="B9:C9"/>
    <mergeCell ref="B10:C10"/>
    <mergeCell ref="B5:C5"/>
    <mergeCell ref="A2:A3"/>
    <mergeCell ref="B2:C3"/>
    <mergeCell ref="D2:D3"/>
    <mergeCell ref="E2:G2"/>
    <mergeCell ref="B4:C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D5FFB-28AA-4B54-B70A-B68DAB627358}">
  <dimension ref="A2:G19"/>
  <sheetViews>
    <sheetView rightToLeft="1" workbookViewId="0">
      <selection activeCell="E4" sqref="E4:G18"/>
    </sheetView>
  </sheetViews>
  <sheetFormatPr baseColWidth="10" defaultRowHeight="15" x14ac:dyDescent="0.25"/>
  <cols>
    <col min="1" max="1" width="7" customWidth="1"/>
    <col min="4" max="4" width="22" customWidth="1"/>
  </cols>
  <sheetData>
    <row r="2" spans="1:7" ht="23.25" x14ac:dyDescent="0.25">
      <c r="A2" s="51" t="s">
        <v>80</v>
      </c>
      <c r="B2" s="69" t="s">
        <v>81</v>
      </c>
      <c r="C2" s="70"/>
      <c r="D2" s="51" t="s">
        <v>82</v>
      </c>
      <c r="E2" s="48" t="s">
        <v>76</v>
      </c>
      <c r="F2" s="49"/>
      <c r="G2" s="50"/>
    </row>
    <row r="3" spans="1:7" ht="18.75" x14ac:dyDescent="0.25">
      <c r="A3" s="52"/>
      <c r="B3" s="71"/>
      <c r="C3" s="72"/>
      <c r="D3" s="52"/>
      <c r="E3" s="16" t="s">
        <v>77</v>
      </c>
      <c r="F3" s="16" t="s">
        <v>78</v>
      </c>
      <c r="G3" s="16" t="s">
        <v>79</v>
      </c>
    </row>
    <row r="4" spans="1:7" x14ac:dyDescent="0.25">
      <c r="A4" s="25">
        <v>1</v>
      </c>
      <c r="B4" s="64" t="s">
        <v>313</v>
      </c>
      <c r="C4" s="65" t="s">
        <v>313</v>
      </c>
      <c r="D4" s="25" t="s">
        <v>328</v>
      </c>
      <c r="E4" s="27">
        <v>8</v>
      </c>
      <c r="F4" s="27">
        <v>2</v>
      </c>
      <c r="G4" s="27">
        <f t="shared" ref="G4:G19" si="0">SUM(E4:F4)</f>
        <v>10</v>
      </c>
    </row>
    <row r="5" spans="1:7" x14ac:dyDescent="0.25">
      <c r="A5" s="25">
        <v>2</v>
      </c>
      <c r="B5" s="64" t="s">
        <v>314</v>
      </c>
      <c r="C5" s="65" t="s">
        <v>314</v>
      </c>
      <c r="D5" s="25" t="s">
        <v>329</v>
      </c>
      <c r="E5" s="27">
        <v>5</v>
      </c>
      <c r="F5" s="27">
        <v>3</v>
      </c>
      <c r="G5" s="27">
        <f t="shared" si="0"/>
        <v>8</v>
      </c>
    </row>
    <row r="6" spans="1:7" x14ac:dyDescent="0.25">
      <c r="A6" s="25">
        <v>3</v>
      </c>
      <c r="B6" s="64" t="s">
        <v>315</v>
      </c>
      <c r="C6" s="65" t="s">
        <v>315</v>
      </c>
      <c r="D6" s="25" t="s">
        <v>330</v>
      </c>
      <c r="E6" s="27">
        <v>4</v>
      </c>
      <c r="F6" s="27">
        <v>4</v>
      </c>
      <c r="G6" s="27">
        <f t="shared" si="0"/>
        <v>8</v>
      </c>
    </row>
    <row r="7" spans="1:7" x14ac:dyDescent="0.25">
      <c r="A7" s="25">
        <v>4</v>
      </c>
      <c r="B7" s="64" t="s">
        <v>316</v>
      </c>
      <c r="C7" s="65" t="s">
        <v>316</v>
      </c>
      <c r="D7" s="25" t="s">
        <v>331</v>
      </c>
      <c r="E7" s="27">
        <v>5</v>
      </c>
      <c r="F7" s="27">
        <v>4</v>
      </c>
      <c r="G7" s="27">
        <f t="shared" si="0"/>
        <v>9</v>
      </c>
    </row>
    <row r="8" spans="1:7" x14ac:dyDescent="0.25">
      <c r="A8" s="25">
        <v>5</v>
      </c>
      <c r="B8" s="64" t="s">
        <v>317</v>
      </c>
      <c r="C8" s="65" t="s">
        <v>317</v>
      </c>
      <c r="D8" s="25" t="s">
        <v>332</v>
      </c>
      <c r="E8" s="27">
        <v>3</v>
      </c>
      <c r="F8" s="27">
        <v>2</v>
      </c>
      <c r="G8" s="27">
        <f t="shared" si="0"/>
        <v>5</v>
      </c>
    </row>
    <row r="9" spans="1:7" x14ac:dyDescent="0.25">
      <c r="A9" s="25">
        <v>6</v>
      </c>
      <c r="B9" s="64" t="s">
        <v>318</v>
      </c>
      <c r="C9" s="65" t="s">
        <v>318</v>
      </c>
      <c r="D9" s="25" t="s">
        <v>333</v>
      </c>
      <c r="E9" s="27">
        <v>7</v>
      </c>
      <c r="F9" s="27">
        <v>6</v>
      </c>
      <c r="G9" s="27">
        <f t="shared" si="0"/>
        <v>13</v>
      </c>
    </row>
    <row r="10" spans="1:7" x14ac:dyDescent="0.25">
      <c r="A10" s="25">
        <v>7</v>
      </c>
      <c r="B10" s="64" t="s">
        <v>319</v>
      </c>
      <c r="C10" s="65" t="s">
        <v>319</v>
      </c>
      <c r="D10" s="25" t="s">
        <v>334</v>
      </c>
      <c r="E10" s="27">
        <v>6</v>
      </c>
      <c r="F10" s="27">
        <v>4</v>
      </c>
      <c r="G10" s="27">
        <f t="shared" si="0"/>
        <v>10</v>
      </c>
    </row>
    <row r="11" spans="1:7" x14ac:dyDescent="0.25">
      <c r="A11" s="25">
        <v>8</v>
      </c>
      <c r="B11" s="64" t="s">
        <v>320</v>
      </c>
      <c r="C11" s="65" t="s">
        <v>320</v>
      </c>
      <c r="D11" s="25" t="s">
        <v>335</v>
      </c>
      <c r="E11" s="27">
        <v>6</v>
      </c>
      <c r="F11" s="27">
        <v>3</v>
      </c>
      <c r="G11" s="27">
        <f t="shared" si="0"/>
        <v>9</v>
      </c>
    </row>
    <row r="12" spans="1:7" x14ac:dyDescent="0.25">
      <c r="A12" s="25">
        <v>9</v>
      </c>
      <c r="B12" s="64" t="s">
        <v>321</v>
      </c>
      <c r="C12" s="65" t="s">
        <v>321</v>
      </c>
      <c r="D12" s="25" t="s">
        <v>119</v>
      </c>
      <c r="E12" s="27">
        <v>2</v>
      </c>
      <c r="F12" s="27">
        <v>6</v>
      </c>
      <c r="G12" s="27">
        <f t="shared" si="0"/>
        <v>8</v>
      </c>
    </row>
    <row r="13" spans="1:7" x14ac:dyDescent="0.25">
      <c r="A13" s="25">
        <v>10</v>
      </c>
      <c r="B13" s="64" t="s">
        <v>322</v>
      </c>
      <c r="C13" s="65" t="s">
        <v>322</v>
      </c>
      <c r="D13" s="25" t="s">
        <v>336</v>
      </c>
      <c r="E13" s="27">
        <v>8</v>
      </c>
      <c r="F13" s="27">
        <v>4</v>
      </c>
      <c r="G13" s="27">
        <f t="shared" si="0"/>
        <v>12</v>
      </c>
    </row>
    <row r="14" spans="1:7" x14ac:dyDescent="0.25">
      <c r="A14" s="25">
        <v>11</v>
      </c>
      <c r="B14" s="64" t="s">
        <v>323</v>
      </c>
      <c r="C14" s="65" t="s">
        <v>323</v>
      </c>
      <c r="D14" s="25" t="s">
        <v>337</v>
      </c>
      <c r="E14" s="27">
        <v>7</v>
      </c>
      <c r="F14" s="27">
        <v>4</v>
      </c>
      <c r="G14" s="27">
        <f t="shared" si="0"/>
        <v>11</v>
      </c>
    </row>
    <row r="15" spans="1:7" x14ac:dyDescent="0.25">
      <c r="A15" s="25">
        <v>12</v>
      </c>
      <c r="B15" s="64" t="s">
        <v>324</v>
      </c>
      <c r="C15" s="65" t="s">
        <v>324</v>
      </c>
      <c r="D15" s="25" t="s">
        <v>338</v>
      </c>
      <c r="E15" s="27">
        <v>7</v>
      </c>
      <c r="F15" s="27">
        <v>5</v>
      </c>
      <c r="G15" s="27">
        <f t="shared" si="0"/>
        <v>12</v>
      </c>
    </row>
    <row r="16" spans="1:7" x14ac:dyDescent="0.25">
      <c r="A16" s="25">
        <v>13</v>
      </c>
      <c r="B16" s="64" t="s">
        <v>325</v>
      </c>
      <c r="C16" s="65" t="s">
        <v>325</v>
      </c>
      <c r="D16" s="25" t="s">
        <v>339</v>
      </c>
      <c r="E16" s="27">
        <v>6</v>
      </c>
      <c r="F16" s="27">
        <v>4</v>
      </c>
      <c r="G16" s="27">
        <f t="shared" si="0"/>
        <v>10</v>
      </c>
    </row>
    <row r="17" spans="1:7" x14ac:dyDescent="0.25">
      <c r="A17" s="25">
        <v>14</v>
      </c>
      <c r="B17" s="64" t="s">
        <v>326</v>
      </c>
      <c r="C17" s="65" t="s">
        <v>326</v>
      </c>
      <c r="D17" s="25" t="s">
        <v>119</v>
      </c>
      <c r="E17" s="27">
        <v>3</v>
      </c>
      <c r="F17" s="27">
        <v>5</v>
      </c>
      <c r="G17" s="27">
        <f t="shared" si="0"/>
        <v>8</v>
      </c>
    </row>
    <row r="18" spans="1:7" x14ac:dyDescent="0.25">
      <c r="A18" s="25">
        <v>15</v>
      </c>
      <c r="B18" s="64" t="s">
        <v>327</v>
      </c>
      <c r="C18" s="65" t="s">
        <v>327</v>
      </c>
      <c r="D18" s="25" t="s">
        <v>340</v>
      </c>
      <c r="E18" s="27">
        <v>5</v>
      </c>
      <c r="F18" s="27">
        <v>2</v>
      </c>
      <c r="G18" s="27">
        <f t="shared" si="0"/>
        <v>7</v>
      </c>
    </row>
    <row r="19" spans="1:7" x14ac:dyDescent="0.25">
      <c r="A19" s="73" t="s">
        <v>71</v>
      </c>
      <c r="B19" s="74"/>
      <c r="C19" s="74"/>
      <c r="D19" s="75"/>
      <c r="E19" s="32">
        <f>SUM(E4:E18)</f>
        <v>82</v>
      </c>
      <c r="F19" s="32">
        <f>SUM(F4:F18)</f>
        <v>58</v>
      </c>
      <c r="G19" s="32">
        <f t="shared" si="0"/>
        <v>140</v>
      </c>
    </row>
  </sheetData>
  <mergeCells count="20">
    <mergeCell ref="A19:D19"/>
    <mergeCell ref="B17:C17"/>
    <mergeCell ref="B12:C12"/>
    <mergeCell ref="B13:C13"/>
    <mergeCell ref="B14:C14"/>
    <mergeCell ref="B15:C15"/>
    <mergeCell ref="B16:C16"/>
    <mergeCell ref="B18:C18"/>
    <mergeCell ref="B11:C11"/>
    <mergeCell ref="A2:A3"/>
    <mergeCell ref="B2:C3"/>
    <mergeCell ref="D2:D3"/>
    <mergeCell ref="E2:G2"/>
    <mergeCell ref="B4:C4"/>
    <mergeCell ref="B5:C5"/>
    <mergeCell ref="B6:C6"/>
    <mergeCell ref="B7:C7"/>
    <mergeCell ref="B8:C8"/>
    <mergeCell ref="B9:C9"/>
    <mergeCell ref="B10:C1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G19"/>
  <sheetViews>
    <sheetView rightToLeft="1" workbookViewId="0">
      <selection activeCell="B4" sqref="B4:C18"/>
    </sheetView>
  </sheetViews>
  <sheetFormatPr baseColWidth="10" defaultRowHeight="15" x14ac:dyDescent="0.25"/>
  <cols>
    <col min="1" max="1" width="6.5703125" customWidth="1"/>
    <col min="4" max="4" width="23.140625" customWidth="1"/>
  </cols>
  <sheetData>
    <row r="2" spans="1:7" ht="23.25" x14ac:dyDescent="0.25">
      <c r="A2" s="51" t="s">
        <v>80</v>
      </c>
      <c r="B2" s="69" t="s">
        <v>81</v>
      </c>
      <c r="C2" s="70"/>
      <c r="D2" s="51" t="s">
        <v>82</v>
      </c>
      <c r="E2" s="48" t="s">
        <v>76</v>
      </c>
      <c r="F2" s="49"/>
      <c r="G2" s="50"/>
    </row>
    <row r="3" spans="1:7" ht="18.75" x14ac:dyDescent="0.25">
      <c r="A3" s="52"/>
      <c r="B3" s="71"/>
      <c r="C3" s="72"/>
      <c r="D3" s="52"/>
      <c r="E3" s="16" t="s">
        <v>77</v>
      </c>
      <c r="F3" s="16" t="s">
        <v>78</v>
      </c>
      <c r="G3" s="16" t="s">
        <v>79</v>
      </c>
    </row>
    <row r="4" spans="1:7" x14ac:dyDescent="0.25">
      <c r="A4" s="25">
        <v>1</v>
      </c>
      <c r="B4" s="76" t="s">
        <v>144</v>
      </c>
      <c r="C4" s="77" t="s">
        <v>144</v>
      </c>
      <c r="D4" s="28" t="s">
        <v>143</v>
      </c>
      <c r="E4" s="29">
        <v>4</v>
      </c>
      <c r="F4" s="29">
        <v>0</v>
      </c>
      <c r="G4" s="29">
        <f t="shared" ref="G4:G19" si="0">SUM(E4:F4)</f>
        <v>4</v>
      </c>
    </row>
    <row r="5" spans="1:7" x14ac:dyDescent="0.25">
      <c r="A5" s="25">
        <v>2</v>
      </c>
      <c r="B5" s="76" t="s">
        <v>145</v>
      </c>
      <c r="C5" s="77" t="s">
        <v>145</v>
      </c>
      <c r="D5" s="28" t="s">
        <v>143</v>
      </c>
      <c r="E5" s="29">
        <v>0</v>
      </c>
      <c r="F5" s="29">
        <v>4</v>
      </c>
      <c r="G5" s="29">
        <f t="shared" si="0"/>
        <v>4</v>
      </c>
    </row>
    <row r="6" spans="1:7" x14ac:dyDescent="0.25">
      <c r="A6" s="25">
        <v>3</v>
      </c>
      <c r="B6" s="76" t="s">
        <v>147</v>
      </c>
      <c r="C6" s="77" t="s">
        <v>147</v>
      </c>
      <c r="D6" s="28" t="s">
        <v>146</v>
      </c>
      <c r="E6" s="29">
        <v>5</v>
      </c>
      <c r="F6" s="29">
        <v>0</v>
      </c>
      <c r="G6" s="29">
        <f t="shared" si="0"/>
        <v>5</v>
      </c>
    </row>
    <row r="7" spans="1:7" x14ac:dyDescent="0.25">
      <c r="A7" s="25">
        <v>4</v>
      </c>
      <c r="B7" s="76" t="s">
        <v>147</v>
      </c>
      <c r="C7" s="77" t="s">
        <v>147</v>
      </c>
      <c r="D7" s="28" t="s">
        <v>146</v>
      </c>
      <c r="E7" s="29">
        <v>0</v>
      </c>
      <c r="F7" s="29">
        <v>5</v>
      </c>
      <c r="G7" s="29">
        <f t="shared" si="0"/>
        <v>5</v>
      </c>
    </row>
    <row r="8" spans="1:7" x14ac:dyDescent="0.25">
      <c r="A8" s="25">
        <v>5</v>
      </c>
      <c r="B8" s="76" t="s">
        <v>149</v>
      </c>
      <c r="C8" s="77" t="s">
        <v>149</v>
      </c>
      <c r="D8" s="28" t="s">
        <v>148</v>
      </c>
      <c r="E8" s="29">
        <v>3</v>
      </c>
      <c r="F8" s="29">
        <v>3</v>
      </c>
      <c r="G8" s="29">
        <f t="shared" si="0"/>
        <v>6</v>
      </c>
    </row>
    <row r="9" spans="1:7" x14ac:dyDescent="0.25">
      <c r="A9" s="25">
        <v>6</v>
      </c>
      <c r="B9" s="76" t="s">
        <v>151</v>
      </c>
      <c r="C9" s="77" t="s">
        <v>151</v>
      </c>
      <c r="D9" s="28" t="s">
        <v>150</v>
      </c>
      <c r="E9" s="29">
        <v>3</v>
      </c>
      <c r="F9" s="29">
        <v>2</v>
      </c>
      <c r="G9" s="29">
        <f t="shared" si="0"/>
        <v>5</v>
      </c>
    </row>
    <row r="10" spans="1:7" x14ac:dyDescent="0.25">
      <c r="A10" s="25">
        <v>7</v>
      </c>
      <c r="B10" s="76" t="s">
        <v>153</v>
      </c>
      <c r="C10" s="77" t="s">
        <v>153</v>
      </c>
      <c r="D10" s="28" t="s">
        <v>152</v>
      </c>
      <c r="E10" s="29">
        <v>3</v>
      </c>
      <c r="F10" s="29">
        <v>3</v>
      </c>
      <c r="G10" s="29">
        <f t="shared" si="0"/>
        <v>6</v>
      </c>
    </row>
    <row r="11" spans="1:7" x14ac:dyDescent="0.25">
      <c r="A11" s="25">
        <v>8</v>
      </c>
      <c r="B11" s="76" t="s">
        <v>155</v>
      </c>
      <c r="C11" s="77" t="s">
        <v>155</v>
      </c>
      <c r="D11" s="28" t="s">
        <v>154</v>
      </c>
      <c r="E11" s="29">
        <v>7</v>
      </c>
      <c r="F11" s="29">
        <v>0</v>
      </c>
      <c r="G11" s="29">
        <f t="shared" si="0"/>
        <v>7</v>
      </c>
    </row>
    <row r="12" spans="1:7" x14ac:dyDescent="0.25">
      <c r="A12" s="25">
        <v>9</v>
      </c>
      <c r="B12" s="76" t="s">
        <v>157</v>
      </c>
      <c r="C12" s="77" t="s">
        <v>157</v>
      </c>
      <c r="D12" s="28" t="s">
        <v>156</v>
      </c>
      <c r="E12" s="29">
        <v>0</v>
      </c>
      <c r="F12" s="29">
        <v>7</v>
      </c>
      <c r="G12" s="29">
        <f t="shared" si="0"/>
        <v>7</v>
      </c>
    </row>
    <row r="13" spans="1:7" x14ac:dyDescent="0.25">
      <c r="A13" s="25">
        <v>10</v>
      </c>
      <c r="B13" s="76" t="s">
        <v>159</v>
      </c>
      <c r="C13" s="77" t="s">
        <v>159</v>
      </c>
      <c r="D13" s="28" t="s">
        <v>158</v>
      </c>
      <c r="E13" s="29">
        <v>4</v>
      </c>
      <c r="F13" s="29">
        <v>2</v>
      </c>
      <c r="G13" s="29">
        <f t="shared" si="0"/>
        <v>6</v>
      </c>
    </row>
    <row r="14" spans="1:7" x14ac:dyDescent="0.25">
      <c r="A14" s="25">
        <v>11</v>
      </c>
      <c r="B14" s="76" t="s">
        <v>161</v>
      </c>
      <c r="C14" s="77" t="s">
        <v>161</v>
      </c>
      <c r="D14" s="28" t="s">
        <v>160</v>
      </c>
      <c r="E14" s="29">
        <v>2</v>
      </c>
      <c r="F14" s="29">
        <v>2</v>
      </c>
      <c r="G14" s="29">
        <f t="shared" si="0"/>
        <v>4</v>
      </c>
    </row>
    <row r="15" spans="1:7" x14ac:dyDescent="0.25">
      <c r="A15" s="25">
        <v>12</v>
      </c>
      <c r="B15" s="76" t="s">
        <v>163</v>
      </c>
      <c r="C15" s="77" t="s">
        <v>163</v>
      </c>
      <c r="D15" s="28" t="s">
        <v>162</v>
      </c>
      <c r="E15" s="29">
        <v>2</v>
      </c>
      <c r="F15" s="29">
        <v>2</v>
      </c>
      <c r="G15" s="29">
        <f t="shared" si="0"/>
        <v>4</v>
      </c>
    </row>
    <row r="16" spans="1:7" x14ac:dyDescent="0.25">
      <c r="A16" s="25">
        <v>13</v>
      </c>
      <c r="B16" s="76" t="s">
        <v>165</v>
      </c>
      <c r="C16" s="77" t="s">
        <v>165</v>
      </c>
      <c r="D16" s="28" t="s">
        <v>342</v>
      </c>
      <c r="E16" s="29">
        <v>2</v>
      </c>
      <c r="F16" s="29">
        <v>2</v>
      </c>
      <c r="G16" s="29">
        <f t="shared" si="0"/>
        <v>4</v>
      </c>
    </row>
    <row r="17" spans="1:7" x14ac:dyDescent="0.25">
      <c r="A17" s="25">
        <v>14</v>
      </c>
      <c r="B17" s="76" t="s">
        <v>341</v>
      </c>
      <c r="C17" s="77"/>
      <c r="D17" s="28" t="s">
        <v>164</v>
      </c>
      <c r="E17" s="29">
        <v>5</v>
      </c>
      <c r="F17" s="29">
        <v>4</v>
      </c>
      <c r="G17" s="29">
        <f t="shared" si="0"/>
        <v>9</v>
      </c>
    </row>
    <row r="18" spans="1:7" x14ac:dyDescent="0.25">
      <c r="A18" s="25">
        <v>15</v>
      </c>
      <c r="B18" s="76" t="s">
        <v>167</v>
      </c>
      <c r="C18" s="77" t="s">
        <v>167</v>
      </c>
      <c r="D18" s="28" t="s">
        <v>166</v>
      </c>
      <c r="E18" s="29">
        <v>7</v>
      </c>
      <c r="F18" s="29">
        <v>0</v>
      </c>
      <c r="G18" s="29">
        <f t="shared" si="0"/>
        <v>7</v>
      </c>
    </row>
    <row r="19" spans="1:7" x14ac:dyDescent="0.25">
      <c r="A19" s="66" t="s">
        <v>71</v>
      </c>
      <c r="B19" s="67"/>
      <c r="C19" s="67"/>
      <c r="D19" s="68"/>
      <c r="E19" s="29">
        <f>SUM(E4:E18)</f>
        <v>47</v>
      </c>
      <c r="F19" s="29">
        <f>SUM(F4:F18)</f>
        <v>36</v>
      </c>
      <c r="G19" s="29">
        <f t="shared" si="0"/>
        <v>83</v>
      </c>
    </row>
  </sheetData>
  <mergeCells count="20">
    <mergeCell ref="A19:D19"/>
    <mergeCell ref="B17:C17"/>
    <mergeCell ref="B15:C15"/>
    <mergeCell ref="B16:C16"/>
    <mergeCell ref="B18:C18"/>
    <mergeCell ref="B10:C10"/>
    <mergeCell ref="B11:C11"/>
    <mergeCell ref="B12:C12"/>
    <mergeCell ref="B13:C13"/>
    <mergeCell ref="B14:C14"/>
    <mergeCell ref="B5:C5"/>
    <mergeCell ref="B6:C6"/>
    <mergeCell ref="B7:C7"/>
    <mergeCell ref="B8:C8"/>
    <mergeCell ref="B9:C9"/>
    <mergeCell ref="A2:A3"/>
    <mergeCell ref="B2:C3"/>
    <mergeCell ref="D2:D3"/>
    <mergeCell ref="E2:G2"/>
    <mergeCell ref="B4:C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512E1-5381-49ED-8E7F-85E99F88BAF9}">
  <dimension ref="A2:G16"/>
  <sheetViews>
    <sheetView rightToLeft="1" workbookViewId="0">
      <selection activeCell="E4" sqref="E4:G15"/>
    </sheetView>
  </sheetViews>
  <sheetFormatPr baseColWidth="10" defaultRowHeight="15" x14ac:dyDescent="0.25"/>
  <cols>
    <col min="1" max="1" width="6.5703125" customWidth="1"/>
    <col min="4" max="4" width="23.140625" customWidth="1"/>
  </cols>
  <sheetData>
    <row r="2" spans="1:7" ht="23.25" x14ac:dyDescent="0.25">
      <c r="A2" s="51" t="s">
        <v>80</v>
      </c>
      <c r="B2" s="69" t="s">
        <v>81</v>
      </c>
      <c r="C2" s="70"/>
      <c r="D2" s="51" t="s">
        <v>82</v>
      </c>
      <c r="E2" s="48" t="s">
        <v>76</v>
      </c>
      <c r="F2" s="49"/>
      <c r="G2" s="50"/>
    </row>
    <row r="3" spans="1:7" ht="18.75" x14ac:dyDescent="0.25">
      <c r="A3" s="52"/>
      <c r="B3" s="71"/>
      <c r="C3" s="72"/>
      <c r="D3" s="52"/>
      <c r="E3" s="16" t="s">
        <v>77</v>
      </c>
      <c r="F3" s="16" t="s">
        <v>78</v>
      </c>
      <c r="G3" s="16" t="s">
        <v>79</v>
      </c>
    </row>
    <row r="4" spans="1:7" x14ac:dyDescent="0.25">
      <c r="A4" s="25">
        <v>1</v>
      </c>
      <c r="B4" s="76" t="s">
        <v>343</v>
      </c>
      <c r="C4" s="77" t="s">
        <v>343</v>
      </c>
      <c r="D4" s="28" t="s">
        <v>355</v>
      </c>
      <c r="E4" s="29">
        <v>6</v>
      </c>
      <c r="F4" s="29">
        <v>0</v>
      </c>
      <c r="G4" s="29">
        <f t="shared" ref="G4:G16" si="0">SUM(E4:F4)</f>
        <v>6</v>
      </c>
    </row>
    <row r="5" spans="1:7" x14ac:dyDescent="0.25">
      <c r="A5" s="25">
        <v>2</v>
      </c>
      <c r="B5" s="76" t="s">
        <v>344</v>
      </c>
      <c r="C5" s="77" t="s">
        <v>344</v>
      </c>
      <c r="D5" s="28" t="s">
        <v>355</v>
      </c>
      <c r="E5" s="29">
        <v>0</v>
      </c>
      <c r="F5" s="29">
        <v>6</v>
      </c>
      <c r="G5" s="29">
        <f t="shared" si="0"/>
        <v>6</v>
      </c>
    </row>
    <row r="6" spans="1:7" x14ac:dyDescent="0.25">
      <c r="A6" s="25">
        <v>3</v>
      </c>
      <c r="B6" s="76" t="s">
        <v>345</v>
      </c>
      <c r="C6" s="77" t="s">
        <v>345</v>
      </c>
      <c r="D6" s="28" t="s">
        <v>356</v>
      </c>
      <c r="E6" s="29">
        <v>5</v>
      </c>
      <c r="F6" s="29">
        <v>5</v>
      </c>
      <c r="G6" s="29">
        <f t="shared" si="0"/>
        <v>10</v>
      </c>
    </row>
    <row r="7" spans="1:7" x14ac:dyDescent="0.25">
      <c r="A7" s="25">
        <v>4</v>
      </c>
      <c r="B7" s="76" t="s">
        <v>346</v>
      </c>
      <c r="C7" s="77" t="s">
        <v>346</v>
      </c>
      <c r="D7" s="28" t="s">
        <v>357</v>
      </c>
      <c r="E7" s="29">
        <v>6</v>
      </c>
      <c r="F7" s="29">
        <v>6</v>
      </c>
      <c r="G7" s="29">
        <f t="shared" si="0"/>
        <v>12</v>
      </c>
    </row>
    <row r="8" spans="1:7" x14ac:dyDescent="0.25">
      <c r="A8" s="25">
        <v>5</v>
      </c>
      <c r="B8" s="76" t="s">
        <v>347</v>
      </c>
      <c r="C8" s="77" t="s">
        <v>347</v>
      </c>
      <c r="D8" s="28" t="s">
        <v>358</v>
      </c>
      <c r="E8" s="29">
        <v>4</v>
      </c>
      <c r="F8" s="29">
        <v>4</v>
      </c>
      <c r="G8" s="29">
        <f t="shared" si="0"/>
        <v>8</v>
      </c>
    </row>
    <row r="9" spans="1:7" x14ac:dyDescent="0.25">
      <c r="A9" s="25">
        <v>6</v>
      </c>
      <c r="B9" s="76" t="s">
        <v>348</v>
      </c>
      <c r="C9" s="77" t="s">
        <v>348</v>
      </c>
      <c r="D9" s="28" t="s">
        <v>359</v>
      </c>
      <c r="E9" s="29">
        <v>5</v>
      </c>
      <c r="F9" s="29">
        <v>5</v>
      </c>
      <c r="G9" s="29">
        <f t="shared" si="0"/>
        <v>10</v>
      </c>
    </row>
    <row r="10" spans="1:7" x14ac:dyDescent="0.25">
      <c r="A10" s="25">
        <v>7</v>
      </c>
      <c r="B10" s="76" t="s">
        <v>349</v>
      </c>
      <c r="C10" s="77" t="s">
        <v>349</v>
      </c>
      <c r="D10" s="28" t="s">
        <v>360</v>
      </c>
      <c r="E10" s="29">
        <v>2</v>
      </c>
      <c r="F10" s="29">
        <v>2</v>
      </c>
      <c r="G10" s="29">
        <f t="shared" si="0"/>
        <v>4</v>
      </c>
    </row>
    <row r="11" spans="1:7" x14ac:dyDescent="0.25">
      <c r="A11" s="25">
        <v>8</v>
      </c>
      <c r="B11" s="76" t="s">
        <v>350</v>
      </c>
      <c r="C11" s="77" t="s">
        <v>350</v>
      </c>
      <c r="D11" s="28" t="s">
        <v>361</v>
      </c>
      <c r="E11" s="29">
        <v>2</v>
      </c>
      <c r="F11" s="29">
        <v>2</v>
      </c>
      <c r="G11" s="29">
        <f t="shared" si="0"/>
        <v>4</v>
      </c>
    </row>
    <row r="12" spans="1:7" x14ac:dyDescent="0.25">
      <c r="A12" s="25">
        <v>9</v>
      </c>
      <c r="B12" s="76" t="s">
        <v>351</v>
      </c>
      <c r="C12" s="77" t="s">
        <v>351</v>
      </c>
      <c r="D12" s="28" t="s">
        <v>362</v>
      </c>
      <c r="E12" s="29">
        <v>3</v>
      </c>
      <c r="F12" s="29">
        <v>3</v>
      </c>
      <c r="G12" s="29">
        <f t="shared" si="0"/>
        <v>6</v>
      </c>
    </row>
    <row r="13" spans="1:7" x14ac:dyDescent="0.25">
      <c r="A13" s="25">
        <v>10</v>
      </c>
      <c r="B13" s="76" t="s">
        <v>352</v>
      </c>
      <c r="C13" s="77" t="s">
        <v>352</v>
      </c>
      <c r="D13" s="28" t="s">
        <v>363</v>
      </c>
      <c r="E13" s="29">
        <v>3</v>
      </c>
      <c r="F13" s="29">
        <v>2</v>
      </c>
      <c r="G13" s="29">
        <f t="shared" si="0"/>
        <v>5</v>
      </c>
    </row>
    <row r="14" spans="1:7" x14ac:dyDescent="0.25">
      <c r="A14" s="25">
        <v>11</v>
      </c>
      <c r="B14" s="76" t="s">
        <v>353</v>
      </c>
      <c r="C14" s="77" t="s">
        <v>353</v>
      </c>
      <c r="D14" s="28" t="s">
        <v>364</v>
      </c>
      <c r="E14" s="29">
        <v>3</v>
      </c>
      <c r="F14" s="29">
        <v>2</v>
      </c>
      <c r="G14" s="29">
        <f t="shared" si="0"/>
        <v>5</v>
      </c>
    </row>
    <row r="15" spans="1:7" x14ac:dyDescent="0.25">
      <c r="A15" s="25">
        <v>12</v>
      </c>
      <c r="B15" s="76" t="s">
        <v>354</v>
      </c>
      <c r="C15" s="77" t="s">
        <v>354</v>
      </c>
      <c r="D15" s="28" t="s">
        <v>365</v>
      </c>
      <c r="E15" s="29">
        <v>3</v>
      </c>
      <c r="F15" s="29">
        <v>2</v>
      </c>
      <c r="G15" s="29">
        <f t="shared" si="0"/>
        <v>5</v>
      </c>
    </row>
    <row r="16" spans="1:7" x14ac:dyDescent="0.25">
      <c r="A16" s="66" t="s">
        <v>71</v>
      </c>
      <c r="B16" s="67"/>
      <c r="C16" s="67"/>
      <c r="D16" s="68"/>
      <c r="E16" s="29">
        <f>SUM(E4:E15)</f>
        <v>42</v>
      </c>
      <c r="F16" s="29">
        <f>SUM(F4:F15)</f>
        <v>39</v>
      </c>
      <c r="G16" s="29">
        <f t="shared" si="0"/>
        <v>81</v>
      </c>
    </row>
  </sheetData>
  <mergeCells count="17">
    <mergeCell ref="A16:D16"/>
    <mergeCell ref="B12:C12"/>
    <mergeCell ref="B13:C13"/>
    <mergeCell ref="B14:C14"/>
    <mergeCell ref="B15:C15"/>
    <mergeCell ref="B11:C11"/>
    <mergeCell ref="A2:A3"/>
    <mergeCell ref="B2:C3"/>
    <mergeCell ref="D2:D3"/>
    <mergeCell ref="E2:G2"/>
    <mergeCell ref="B4:C4"/>
    <mergeCell ref="B5:C5"/>
    <mergeCell ref="B6:C6"/>
    <mergeCell ref="B7:C7"/>
    <mergeCell ref="B8:C8"/>
    <mergeCell ref="B9:C9"/>
    <mergeCell ref="B10:C1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B3076-C8A4-4718-B6C3-02FAEB3F82AC}">
  <dimension ref="A2:G10"/>
  <sheetViews>
    <sheetView rightToLeft="1" workbookViewId="0">
      <selection activeCell="G26" sqref="G26"/>
    </sheetView>
  </sheetViews>
  <sheetFormatPr baseColWidth="10" defaultRowHeight="15" x14ac:dyDescent="0.25"/>
  <cols>
    <col min="1" max="1" width="6.5703125" customWidth="1"/>
    <col min="4" max="4" width="23.140625" customWidth="1"/>
  </cols>
  <sheetData>
    <row r="2" spans="1:7" ht="23.25" x14ac:dyDescent="0.25">
      <c r="A2" s="51" t="s">
        <v>80</v>
      </c>
      <c r="B2" s="69" t="s">
        <v>81</v>
      </c>
      <c r="C2" s="70"/>
      <c r="D2" s="51" t="s">
        <v>82</v>
      </c>
      <c r="E2" s="48" t="s">
        <v>76</v>
      </c>
      <c r="F2" s="49"/>
      <c r="G2" s="50"/>
    </row>
    <row r="3" spans="1:7" ht="18.75" x14ac:dyDescent="0.25">
      <c r="A3" s="52"/>
      <c r="B3" s="71"/>
      <c r="C3" s="72"/>
      <c r="D3" s="52"/>
      <c r="E3" s="16" t="s">
        <v>77</v>
      </c>
      <c r="F3" s="16" t="s">
        <v>78</v>
      </c>
      <c r="G3" s="16" t="s">
        <v>79</v>
      </c>
    </row>
    <row r="4" spans="1:7" x14ac:dyDescent="0.25">
      <c r="A4" s="25">
        <v>1</v>
      </c>
      <c r="B4" s="76" t="s">
        <v>366</v>
      </c>
      <c r="C4" s="77" t="s">
        <v>366</v>
      </c>
      <c r="D4" s="28" t="s">
        <v>372</v>
      </c>
      <c r="E4" s="29">
        <v>0</v>
      </c>
      <c r="F4" s="29">
        <v>6</v>
      </c>
      <c r="G4" s="29">
        <f t="shared" ref="G4:G10" si="0">SUM(E4:F4)</f>
        <v>6</v>
      </c>
    </row>
    <row r="5" spans="1:7" x14ac:dyDescent="0.25">
      <c r="A5" s="25">
        <v>2</v>
      </c>
      <c r="B5" s="76" t="s">
        <v>367</v>
      </c>
      <c r="C5" s="77" t="s">
        <v>367</v>
      </c>
      <c r="D5" s="28" t="s">
        <v>373</v>
      </c>
      <c r="E5" s="29">
        <v>4</v>
      </c>
      <c r="F5" s="29">
        <v>4</v>
      </c>
      <c r="G5" s="29">
        <f t="shared" si="0"/>
        <v>8</v>
      </c>
    </row>
    <row r="6" spans="1:7" x14ac:dyDescent="0.25">
      <c r="A6" s="25">
        <v>3</v>
      </c>
      <c r="B6" s="76" t="s">
        <v>368</v>
      </c>
      <c r="C6" s="77" t="s">
        <v>368</v>
      </c>
      <c r="D6" s="28" t="s">
        <v>374</v>
      </c>
      <c r="E6" s="29">
        <v>4</v>
      </c>
      <c r="F6" s="29">
        <v>4</v>
      </c>
      <c r="G6" s="29">
        <f t="shared" si="0"/>
        <v>8</v>
      </c>
    </row>
    <row r="7" spans="1:7" x14ac:dyDescent="0.25">
      <c r="A7" s="25">
        <v>4</v>
      </c>
      <c r="B7" s="76" t="s">
        <v>369</v>
      </c>
      <c r="C7" s="77" t="s">
        <v>369</v>
      </c>
      <c r="D7" s="28" t="s">
        <v>375</v>
      </c>
      <c r="E7" s="29">
        <v>6</v>
      </c>
      <c r="F7" s="29">
        <v>0</v>
      </c>
      <c r="G7" s="29">
        <f t="shared" si="0"/>
        <v>6</v>
      </c>
    </row>
    <row r="8" spans="1:7" x14ac:dyDescent="0.25">
      <c r="A8" s="25">
        <v>5</v>
      </c>
      <c r="B8" s="76" t="s">
        <v>370</v>
      </c>
      <c r="C8" s="77" t="s">
        <v>370</v>
      </c>
      <c r="D8" s="28" t="s">
        <v>376</v>
      </c>
      <c r="E8" s="29">
        <v>1</v>
      </c>
      <c r="F8" s="29">
        <v>1</v>
      </c>
      <c r="G8" s="29">
        <f t="shared" si="0"/>
        <v>2</v>
      </c>
    </row>
    <row r="9" spans="1:7" x14ac:dyDescent="0.25">
      <c r="A9" s="25">
        <v>6</v>
      </c>
      <c r="B9" s="76" t="s">
        <v>371</v>
      </c>
      <c r="C9" s="77" t="s">
        <v>371</v>
      </c>
      <c r="D9" s="28" t="s">
        <v>377</v>
      </c>
      <c r="E9" s="29">
        <v>1</v>
      </c>
      <c r="F9" s="29">
        <v>2</v>
      </c>
      <c r="G9" s="29">
        <f t="shared" si="0"/>
        <v>3</v>
      </c>
    </row>
    <row r="10" spans="1:7" x14ac:dyDescent="0.25">
      <c r="A10" s="66" t="s">
        <v>71</v>
      </c>
      <c r="B10" s="67"/>
      <c r="C10" s="67"/>
      <c r="D10" s="68"/>
      <c r="E10" s="29">
        <f>SUM(E4:E9)</f>
        <v>16</v>
      </c>
      <c r="F10" s="29">
        <f>SUM(F4:F9)</f>
        <v>17</v>
      </c>
      <c r="G10" s="29">
        <f t="shared" si="0"/>
        <v>33</v>
      </c>
    </row>
  </sheetData>
  <mergeCells count="11">
    <mergeCell ref="A10:D10"/>
    <mergeCell ref="B6:C6"/>
    <mergeCell ref="B7:C7"/>
    <mergeCell ref="B8:C8"/>
    <mergeCell ref="B9:C9"/>
    <mergeCell ref="B5:C5"/>
    <mergeCell ref="A2:A3"/>
    <mergeCell ref="B2:C3"/>
    <mergeCell ref="D2:D3"/>
    <mergeCell ref="E2:G2"/>
    <mergeCell ref="B4:C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4AAE-243D-491E-BAB0-47D16224BA2F}">
  <dimension ref="A2:G14"/>
  <sheetViews>
    <sheetView rightToLeft="1" workbookViewId="0">
      <selection activeCell="H27" sqref="H27"/>
    </sheetView>
  </sheetViews>
  <sheetFormatPr baseColWidth="10" defaultRowHeight="15" x14ac:dyDescent="0.25"/>
  <cols>
    <col min="1" max="1" width="6.5703125" customWidth="1"/>
    <col min="4" max="4" width="23.140625" customWidth="1"/>
  </cols>
  <sheetData>
    <row r="2" spans="1:7" ht="23.25" x14ac:dyDescent="0.25">
      <c r="A2" s="51" t="s">
        <v>80</v>
      </c>
      <c r="B2" s="69" t="s">
        <v>81</v>
      </c>
      <c r="C2" s="70"/>
      <c r="D2" s="51" t="s">
        <v>82</v>
      </c>
      <c r="E2" s="48" t="s">
        <v>76</v>
      </c>
      <c r="F2" s="49"/>
      <c r="G2" s="50"/>
    </row>
    <row r="3" spans="1:7" ht="18.75" x14ac:dyDescent="0.25">
      <c r="A3" s="52"/>
      <c r="B3" s="71"/>
      <c r="C3" s="72"/>
      <c r="D3" s="52"/>
      <c r="E3" s="16" t="s">
        <v>77</v>
      </c>
      <c r="F3" s="16" t="s">
        <v>78</v>
      </c>
      <c r="G3" s="16" t="s">
        <v>79</v>
      </c>
    </row>
    <row r="4" spans="1:7" x14ac:dyDescent="0.25">
      <c r="A4" s="25">
        <v>1</v>
      </c>
      <c r="B4" s="76" t="s">
        <v>378</v>
      </c>
      <c r="C4" s="77" t="s">
        <v>378</v>
      </c>
      <c r="D4" s="28" t="s">
        <v>388</v>
      </c>
      <c r="E4" s="29">
        <v>8</v>
      </c>
      <c r="F4" s="29">
        <v>0</v>
      </c>
      <c r="G4" s="29">
        <f t="shared" ref="G4:G14" si="0">SUM(E4:F4)</f>
        <v>8</v>
      </c>
    </row>
    <row r="5" spans="1:7" x14ac:dyDescent="0.25">
      <c r="A5" s="25">
        <v>2</v>
      </c>
      <c r="B5" s="76" t="s">
        <v>379</v>
      </c>
      <c r="C5" s="77" t="s">
        <v>379</v>
      </c>
      <c r="D5" s="28" t="s">
        <v>388</v>
      </c>
      <c r="E5" s="29"/>
      <c r="F5" s="29">
        <v>6</v>
      </c>
      <c r="G5" s="29">
        <f t="shared" si="0"/>
        <v>6</v>
      </c>
    </row>
    <row r="6" spans="1:7" x14ac:dyDescent="0.25">
      <c r="A6" s="25">
        <v>3</v>
      </c>
      <c r="B6" s="76" t="s">
        <v>380</v>
      </c>
      <c r="C6" s="77" t="s">
        <v>380</v>
      </c>
      <c r="D6" s="28" t="s">
        <v>389</v>
      </c>
      <c r="E6" s="29">
        <v>6</v>
      </c>
      <c r="F6" s="29">
        <v>0</v>
      </c>
      <c r="G6" s="29">
        <f t="shared" si="0"/>
        <v>6</v>
      </c>
    </row>
    <row r="7" spans="1:7" x14ac:dyDescent="0.25">
      <c r="A7" s="25">
        <v>4</v>
      </c>
      <c r="B7" s="76" t="s">
        <v>381</v>
      </c>
      <c r="C7" s="77" t="s">
        <v>381</v>
      </c>
      <c r="D7" s="28" t="s">
        <v>390</v>
      </c>
      <c r="E7" s="29">
        <v>3</v>
      </c>
      <c r="F7" s="29">
        <v>3</v>
      </c>
      <c r="G7" s="29">
        <f t="shared" si="0"/>
        <v>6</v>
      </c>
    </row>
    <row r="8" spans="1:7" x14ac:dyDescent="0.25">
      <c r="A8" s="25">
        <v>5</v>
      </c>
      <c r="B8" s="76" t="s">
        <v>382</v>
      </c>
      <c r="C8" s="77" t="s">
        <v>382</v>
      </c>
      <c r="D8" s="28" t="s">
        <v>391</v>
      </c>
      <c r="E8" s="29">
        <v>2</v>
      </c>
      <c r="F8" s="29">
        <v>2</v>
      </c>
      <c r="G8" s="29">
        <f t="shared" si="0"/>
        <v>4</v>
      </c>
    </row>
    <row r="9" spans="1:7" x14ac:dyDescent="0.25">
      <c r="A9" s="25">
        <v>6</v>
      </c>
      <c r="B9" s="76" t="s">
        <v>383</v>
      </c>
      <c r="C9" s="77" t="s">
        <v>383</v>
      </c>
      <c r="D9" s="28" t="s">
        <v>392</v>
      </c>
      <c r="E9" s="29"/>
      <c r="F9" s="29">
        <v>5</v>
      </c>
      <c r="G9" s="29">
        <f t="shared" si="0"/>
        <v>5</v>
      </c>
    </row>
    <row r="10" spans="1:7" x14ac:dyDescent="0.25">
      <c r="A10" s="25">
        <v>7</v>
      </c>
      <c r="B10" s="76" t="s">
        <v>384</v>
      </c>
      <c r="C10" s="77" t="s">
        <v>384</v>
      </c>
      <c r="D10" s="28" t="s">
        <v>393</v>
      </c>
      <c r="E10" s="29">
        <v>3</v>
      </c>
      <c r="F10" s="29">
        <v>3</v>
      </c>
      <c r="G10" s="29">
        <f t="shared" si="0"/>
        <v>6</v>
      </c>
    </row>
    <row r="11" spans="1:7" x14ac:dyDescent="0.25">
      <c r="A11" s="25">
        <v>8</v>
      </c>
      <c r="B11" s="76" t="s">
        <v>385</v>
      </c>
      <c r="C11" s="77" t="s">
        <v>385</v>
      </c>
      <c r="D11" s="28" t="s">
        <v>394</v>
      </c>
      <c r="E11" s="29">
        <v>3</v>
      </c>
      <c r="F11" s="29">
        <v>2</v>
      </c>
      <c r="G11" s="29">
        <f t="shared" si="0"/>
        <v>5</v>
      </c>
    </row>
    <row r="12" spans="1:7" x14ac:dyDescent="0.25">
      <c r="A12" s="25">
        <v>9</v>
      </c>
      <c r="B12" s="76" t="s">
        <v>386</v>
      </c>
      <c r="C12" s="77" t="s">
        <v>386</v>
      </c>
      <c r="D12" s="28" t="s">
        <v>395</v>
      </c>
      <c r="E12" s="29">
        <v>2</v>
      </c>
      <c r="F12" s="29">
        <v>2</v>
      </c>
      <c r="G12" s="29">
        <f t="shared" si="0"/>
        <v>4</v>
      </c>
    </row>
    <row r="13" spans="1:7" x14ac:dyDescent="0.25">
      <c r="A13" s="25">
        <v>10</v>
      </c>
      <c r="B13" s="76" t="s">
        <v>387</v>
      </c>
      <c r="C13" s="77" t="s">
        <v>387</v>
      </c>
      <c r="D13" s="28" t="s">
        <v>395</v>
      </c>
      <c r="E13" s="29">
        <v>1</v>
      </c>
      <c r="F13" s="29">
        <v>1</v>
      </c>
      <c r="G13" s="29">
        <f t="shared" si="0"/>
        <v>2</v>
      </c>
    </row>
    <row r="14" spans="1:7" x14ac:dyDescent="0.25">
      <c r="A14" s="66" t="s">
        <v>71</v>
      </c>
      <c r="B14" s="67"/>
      <c r="C14" s="67"/>
      <c r="D14" s="68"/>
      <c r="E14" s="29">
        <f>SUM(E4:E13)</f>
        <v>28</v>
      </c>
      <c r="F14" s="29">
        <f>SUM(F4:F13)</f>
        <v>24</v>
      </c>
      <c r="G14" s="29">
        <f t="shared" si="0"/>
        <v>52</v>
      </c>
    </row>
  </sheetData>
  <mergeCells count="15">
    <mergeCell ref="B12:C12"/>
    <mergeCell ref="B13:C13"/>
    <mergeCell ref="A14:D14"/>
    <mergeCell ref="B6:C6"/>
    <mergeCell ref="B7:C7"/>
    <mergeCell ref="B8:C8"/>
    <mergeCell ref="B9:C9"/>
    <mergeCell ref="B10:C10"/>
    <mergeCell ref="B11:C11"/>
    <mergeCell ref="B5:C5"/>
    <mergeCell ref="A2:A3"/>
    <mergeCell ref="B2:C3"/>
    <mergeCell ref="D2:D3"/>
    <mergeCell ref="E2:G2"/>
    <mergeCell ref="B4:C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BCA83-98C7-41F3-BCFD-D02CC201A810}">
  <dimension ref="A2:G7"/>
  <sheetViews>
    <sheetView rightToLeft="1" workbookViewId="0">
      <selection activeCell="G21" sqref="G21"/>
    </sheetView>
  </sheetViews>
  <sheetFormatPr baseColWidth="10" defaultRowHeight="15" x14ac:dyDescent="0.25"/>
  <cols>
    <col min="1" max="1" width="6.5703125" customWidth="1"/>
    <col min="4" max="4" width="23.140625" customWidth="1"/>
  </cols>
  <sheetData>
    <row r="2" spans="1:7" ht="23.25" x14ac:dyDescent="0.25">
      <c r="A2" s="51" t="s">
        <v>80</v>
      </c>
      <c r="B2" s="69" t="s">
        <v>81</v>
      </c>
      <c r="C2" s="70"/>
      <c r="D2" s="51" t="s">
        <v>82</v>
      </c>
      <c r="E2" s="48" t="s">
        <v>76</v>
      </c>
      <c r="F2" s="49"/>
      <c r="G2" s="50"/>
    </row>
    <row r="3" spans="1:7" ht="18.75" x14ac:dyDescent="0.25">
      <c r="A3" s="52"/>
      <c r="B3" s="71"/>
      <c r="C3" s="72"/>
      <c r="D3" s="52"/>
      <c r="E3" s="16" t="s">
        <v>77</v>
      </c>
      <c r="F3" s="16" t="s">
        <v>78</v>
      </c>
      <c r="G3" s="16" t="s">
        <v>79</v>
      </c>
    </row>
    <row r="4" spans="1:7" x14ac:dyDescent="0.25">
      <c r="A4" s="25">
        <v>1</v>
      </c>
      <c r="B4" s="76" t="s">
        <v>396</v>
      </c>
      <c r="C4" s="77" t="s">
        <v>396</v>
      </c>
      <c r="D4" s="28" t="s">
        <v>399</v>
      </c>
      <c r="E4" s="29">
        <v>5</v>
      </c>
      <c r="F4" s="29">
        <v>4</v>
      </c>
      <c r="G4" s="29">
        <f>SUM(E4:F4)</f>
        <v>9</v>
      </c>
    </row>
    <row r="5" spans="1:7" x14ac:dyDescent="0.25">
      <c r="A5" s="25">
        <v>2</v>
      </c>
      <c r="B5" s="76" t="s">
        <v>397</v>
      </c>
      <c r="C5" s="77" t="s">
        <v>397</v>
      </c>
      <c r="D5" s="28" t="s">
        <v>400</v>
      </c>
      <c r="E5" s="29">
        <v>3</v>
      </c>
      <c r="F5" s="29">
        <v>2</v>
      </c>
      <c r="G5" s="29">
        <f>SUM(E5:F5)</f>
        <v>5</v>
      </c>
    </row>
    <row r="6" spans="1:7" x14ac:dyDescent="0.25">
      <c r="A6" s="25">
        <v>3</v>
      </c>
      <c r="B6" s="76" t="s">
        <v>398</v>
      </c>
      <c r="C6" s="77" t="s">
        <v>398</v>
      </c>
      <c r="D6" s="28" t="s">
        <v>152</v>
      </c>
      <c r="E6" s="29">
        <v>2</v>
      </c>
      <c r="F6" s="29">
        <v>1</v>
      </c>
      <c r="G6" s="29">
        <f>SUM(E6:F6)</f>
        <v>3</v>
      </c>
    </row>
    <row r="7" spans="1:7" x14ac:dyDescent="0.25">
      <c r="A7" s="66" t="s">
        <v>71</v>
      </c>
      <c r="B7" s="67"/>
      <c r="C7" s="67"/>
      <c r="D7" s="68"/>
      <c r="E7" s="29">
        <f>SUM(E4:E6)</f>
        <v>10</v>
      </c>
      <c r="F7" s="29">
        <f>SUM(F4:F6)</f>
        <v>7</v>
      </c>
      <c r="G7" s="29">
        <f>SUM(E7:F7)</f>
        <v>17</v>
      </c>
    </row>
  </sheetData>
  <mergeCells count="8">
    <mergeCell ref="E2:G2"/>
    <mergeCell ref="B4:C4"/>
    <mergeCell ref="B5:C5"/>
    <mergeCell ref="A7:D7"/>
    <mergeCell ref="B6:C6"/>
    <mergeCell ref="A2:A3"/>
    <mergeCell ref="B2:C3"/>
    <mergeCell ref="D2:D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G19"/>
  <sheetViews>
    <sheetView rightToLeft="1" workbookViewId="0">
      <selection activeCell="G18" sqref="G18"/>
    </sheetView>
  </sheetViews>
  <sheetFormatPr baseColWidth="10" defaultRowHeight="15" x14ac:dyDescent="0.25"/>
  <cols>
    <col min="1" max="1" width="6.28515625" customWidth="1"/>
    <col min="4" max="4" width="22" customWidth="1"/>
  </cols>
  <sheetData>
    <row r="2" spans="1:7" ht="23.25" x14ac:dyDescent="0.25">
      <c r="A2" s="51" t="s">
        <v>80</v>
      </c>
      <c r="B2" s="69" t="s">
        <v>81</v>
      </c>
      <c r="C2" s="70"/>
      <c r="D2" s="51" t="s">
        <v>82</v>
      </c>
      <c r="E2" s="48" t="s">
        <v>76</v>
      </c>
      <c r="F2" s="49"/>
      <c r="G2" s="50"/>
    </row>
    <row r="3" spans="1:7" ht="18.75" x14ac:dyDescent="0.25">
      <c r="A3" s="52"/>
      <c r="B3" s="71"/>
      <c r="C3" s="72"/>
      <c r="D3" s="52"/>
      <c r="E3" s="16" t="s">
        <v>77</v>
      </c>
      <c r="F3" s="16" t="s">
        <v>78</v>
      </c>
      <c r="G3" s="16" t="s">
        <v>79</v>
      </c>
    </row>
    <row r="4" spans="1:7" x14ac:dyDescent="0.25">
      <c r="A4" s="25">
        <v>1</v>
      </c>
      <c r="B4" s="64" t="s">
        <v>168</v>
      </c>
      <c r="C4" s="65" t="s">
        <v>168</v>
      </c>
      <c r="D4" s="28" t="s">
        <v>183</v>
      </c>
      <c r="E4" s="29">
        <v>15</v>
      </c>
      <c r="F4" s="29"/>
      <c r="G4" s="29">
        <v>15</v>
      </c>
    </row>
    <row r="5" spans="1:7" x14ac:dyDescent="0.25">
      <c r="A5" s="25">
        <v>2</v>
      </c>
      <c r="B5" s="64" t="s">
        <v>169</v>
      </c>
      <c r="C5" s="65" t="s">
        <v>169</v>
      </c>
      <c r="D5" s="28" t="s">
        <v>184</v>
      </c>
      <c r="E5" s="29"/>
      <c r="F5" s="29">
        <v>14</v>
      </c>
      <c r="G5" s="29">
        <v>14</v>
      </c>
    </row>
    <row r="6" spans="1:7" x14ac:dyDescent="0.25">
      <c r="A6" s="25">
        <v>3</v>
      </c>
      <c r="B6" s="64" t="s">
        <v>170</v>
      </c>
      <c r="C6" s="65" t="s">
        <v>170</v>
      </c>
      <c r="D6" s="28" t="s">
        <v>185</v>
      </c>
      <c r="E6" s="29">
        <v>4</v>
      </c>
      <c r="F6" s="29">
        <v>4</v>
      </c>
      <c r="G6" s="29">
        <v>8</v>
      </c>
    </row>
    <row r="7" spans="1:7" x14ac:dyDescent="0.25">
      <c r="A7" s="25">
        <v>4</v>
      </c>
      <c r="B7" s="64" t="s">
        <v>171</v>
      </c>
      <c r="C7" s="65" t="s">
        <v>171</v>
      </c>
      <c r="D7" s="28" t="s">
        <v>186</v>
      </c>
      <c r="E7" s="29">
        <v>7</v>
      </c>
      <c r="F7" s="29">
        <v>6</v>
      </c>
      <c r="G7" s="29">
        <v>13</v>
      </c>
    </row>
    <row r="8" spans="1:7" x14ac:dyDescent="0.25">
      <c r="A8" s="25">
        <v>5</v>
      </c>
      <c r="B8" s="64" t="s">
        <v>172</v>
      </c>
      <c r="C8" s="65" t="s">
        <v>172</v>
      </c>
      <c r="D8" s="28" t="s">
        <v>187</v>
      </c>
      <c r="E8" s="29">
        <v>12</v>
      </c>
      <c r="F8" s="29">
        <v>6</v>
      </c>
      <c r="G8" s="29">
        <v>17</v>
      </c>
    </row>
    <row r="9" spans="1:7" x14ac:dyDescent="0.25">
      <c r="A9" s="25">
        <v>6</v>
      </c>
      <c r="B9" s="64" t="s">
        <v>173</v>
      </c>
      <c r="C9" s="65" t="s">
        <v>173</v>
      </c>
      <c r="D9" s="28" t="s">
        <v>188</v>
      </c>
      <c r="E9" s="29">
        <v>8</v>
      </c>
      <c r="F9" s="29"/>
      <c r="G9" s="29">
        <v>8</v>
      </c>
    </row>
    <row r="10" spans="1:7" x14ac:dyDescent="0.25">
      <c r="A10" s="25">
        <v>7</v>
      </c>
      <c r="B10" s="64" t="s">
        <v>174</v>
      </c>
      <c r="C10" s="65" t="s">
        <v>174</v>
      </c>
      <c r="D10" s="28" t="s">
        <v>188</v>
      </c>
      <c r="E10" s="29"/>
      <c r="F10" s="29">
        <v>7</v>
      </c>
      <c r="G10" s="29">
        <v>7</v>
      </c>
    </row>
    <row r="11" spans="1:7" x14ac:dyDescent="0.25">
      <c r="A11" s="25">
        <v>8</v>
      </c>
      <c r="B11" s="64" t="s">
        <v>175</v>
      </c>
      <c r="C11" s="65" t="s">
        <v>175</v>
      </c>
      <c r="D11" s="28" t="s">
        <v>189</v>
      </c>
      <c r="E11" s="29">
        <v>4</v>
      </c>
      <c r="F11" s="29">
        <v>4</v>
      </c>
      <c r="G11" s="29">
        <v>8</v>
      </c>
    </row>
    <row r="12" spans="1:7" x14ac:dyDescent="0.25">
      <c r="A12" s="25">
        <v>9</v>
      </c>
      <c r="B12" s="64" t="s">
        <v>176</v>
      </c>
      <c r="C12" s="65" t="s">
        <v>176</v>
      </c>
      <c r="D12" s="28" t="s">
        <v>190</v>
      </c>
      <c r="E12" s="29">
        <v>5</v>
      </c>
      <c r="F12" s="29">
        <v>4</v>
      </c>
      <c r="G12" s="29">
        <v>9</v>
      </c>
    </row>
    <row r="13" spans="1:7" x14ac:dyDescent="0.25">
      <c r="A13" s="25">
        <v>10</v>
      </c>
      <c r="B13" s="64" t="s">
        <v>177</v>
      </c>
      <c r="C13" s="65" t="s">
        <v>177</v>
      </c>
      <c r="D13" s="28" t="s">
        <v>191</v>
      </c>
      <c r="E13" s="29">
        <v>3</v>
      </c>
      <c r="F13" s="29">
        <v>3</v>
      </c>
      <c r="G13" s="29">
        <v>6</v>
      </c>
    </row>
    <row r="14" spans="1:7" x14ac:dyDescent="0.25">
      <c r="A14" s="25">
        <v>11</v>
      </c>
      <c r="B14" s="64" t="s">
        <v>178</v>
      </c>
      <c r="C14" s="65" t="s">
        <v>178</v>
      </c>
      <c r="D14" s="28" t="s">
        <v>192</v>
      </c>
      <c r="E14" s="29">
        <v>3</v>
      </c>
      <c r="F14" s="29">
        <v>2</v>
      </c>
      <c r="G14" s="29">
        <v>5</v>
      </c>
    </row>
    <row r="15" spans="1:7" x14ac:dyDescent="0.25">
      <c r="A15" s="25">
        <v>12</v>
      </c>
      <c r="B15" s="64" t="s">
        <v>179</v>
      </c>
      <c r="C15" s="65" t="s">
        <v>179</v>
      </c>
      <c r="D15" s="28" t="s">
        <v>193</v>
      </c>
      <c r="E15" s="29">
        <v>2</v>
      </c>
      <c r="F15" s="29">
        <v>2</v>
      </c>
      <c r="G15" s="29">
        <v>4</v>
      </c>
    </row>
    <row r="16" spans="1:7" x14ac:dyDescent="0.25">
      <c r="A16" s="25">
        <v>13</v>
      </c>
      <c r="B16" s="64" t="s">
        <v>180</v>
      </c>
      <c r="C16" s="65" t="s">
        <v>180</v>
      </c>
      <c r="D16" s="28" t="s">
        <v>194</v>
      </c>
      <c r="E16" s="29">
        <v>4</v>
      </c>
      <c r="F16" s="29">
        <v>3</v>
      </c>
      <c r="G16" s="29">
        <v>7</v>
      </c>
    </row>
    <row r="17" spans="1:7" x14ac:dyDescent="0.25">
      <c r="A17" s="25">
        <v>14</v>
      </c>
      <c r="B17" s="64" t="s">
        <v>181</v>
      </c>
      <c r="C17" s="65" t="s">
        <v>181</v>
      </c>
      <c r="D17" s="28" t="s">
        <v>195</v>
      </c>
      <c r="E17" s="29">
        <v>3</v>
      </c>
      <c r="F17" s="29">
        <v>3</v>
      </c>
      <c r="G17" s="29">
        <v>6</v>
      </c>
    </row>
    <row r="18" spans="1:7" x14ac:dyDescent="0.25">
      <c r="A18" s="25">
        <v>15</v>
      </c>
      <c r="B18" s="64" t="s">
        <v>182</v>
      </c>
      <c r="C18" s="65" t="s">
        <v>182</v>
      </c>
      <c r="D18" s="28" t="s">
        <v>196</v>
      </c>
      <c r="E18" s="29">
        <v>9</v>
      </c>
      <c r="F18" s="29"/>
      <c r="G18" s="29">
        <v>9</v>
      </c>
    </row>
    <row r="19" spans="1:7" x14ac:dyDescent="0.25">
      <c r="A19" s="66" t="s">
        <v>71</v>
      </c>
      <c r="B19" s="67"/>
      <c r="C19" s="67"/>
      <c r="D19" s="68"/>
      <c r="E19" s="27">
        <f>SUM(E4:E18)</f>
        <v>79</v>
      </c>
      <c r="F19" s="27">
        <f>SUM(F4:F18)</f>
        <v>58</v>
      </c>
      <c r="G19" s="27">
        <f>SUM(G4:G18)</f>
        <v>136</v>
      </c>
    </row>
  </sheetData>
  <mergeCells count="20">
    <mergeCell ref="A19:D19"/>
    <mergeCell ref="B15:C15"/>
    <mergeCell ref="B16:C16"/>
    <mergeCell ref="B17:C17"/>
    <mergeCell ref="B18:C18"/>
    <mergeCell ref="B10:C10"/>
    <mergeCell ref="B11:C11"/>
    <mergeCell ref="B12:C12"/>
    <mergeCell ref="B13:C13"/>
    <mergeCell ref="B14:C14"/>
    <mergeCell ref="B5:C5"/>
    <mergeCell ref="B6:C6"/>
    <mergeCell ref="B7:C7"/>
    <mergeCell ref="B8:C8"/>
    <mergeCell ref="B9:C9"/>
    <mergeCell ref="A2:A3"/>
    <mergeCell ref="B2:C3"/>
    <mergeCell ref="D2:D3"/>
    <mergeCell ref="E2:G2"/>
    <mergeCell ref="B4:C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772E9-635D-4594-BD44-B4FCB151A2C3}">
  <dimension ref="A2:G9"/>
  <sheetViews>
    <sheetView rightToLeft="1" workbookViewId="0">
      <selection activeCell="E4" sqref="E4:G9"/>
    </sheetView>
  </sheetViews>
  <sheetFormatPr baseColWidth="10" defaultRowHeight="15" x14ac:dyDescent="0.25"/>
  <cols>
    <col min="1" max="1" width="6.28515625" customWidth="1"/>
    <col min="4" max="4" width="22" customWidth="1"/>
  </cols>
  <sheetData>
    <row r="2" spans="1:7" ht="23.25" x14ac:dyDescent="0.25">
      <c r="A2" s="51" t="s">
        <v>80</v>
      </c>
      <c r="B2" s="69" t="s">
        <v>81</v>
      </c>
      <c r="C2" s="70"/>
      <c r="D2" s="51" t="s">
        <v>82</v>
      </c>
      <c r="E2" s="48" t="s">
        <v>76</v>
      </c>
      <c r="F2" s="49"/>
      <c r="G2" s="50"/>
    </row>
    <row r="3" spans="1:7" ht="18.75" x14ac:dyDescent="0.25">
      <c r="A3" s="52"/>
      <c r="B3" s="71"/>
      <c r="C3" s="72"/>
      <c r="D3" s="52"/>
      <c r="E3" s="16" t="s">
        <v>77</v>
      </c>
      <c r="F3" s="16" t="s">
        <v>78</v>
      </c>
      <c r="G3" s="16" t="s">
        <v>79</v>
      </c>
    </row>
    <row r="4" spans="1:7" x14ac:dyDescent="0.25">
      <c r="A4" s="25">
        <v>1</v>
      </c>
      <c r="B4" s="64" t="s">
        <v>401</v>
      </c>
      <c r="C4" s="65" t="s">
        <v>401</v>
      </c>
      <c r="D4" s="28" t="s">
        <v>405</v>
      </c>
      <c r="E4" s="29">
        <v>4</v>
      </c>
      <c r="F4" s="29">
        <v>4</v>
      </c>
      <c r="G4" s="29">
        <f t="shared" ref="G4:G9" si="0">SUM(E4:F4)</f>
        <v>8</v>
      </c>
    </row>
    <row r="5" spans="1:7" x14ac:dyDescent="0.25">
      <c r="A5" s="25">
        <v>2</v>
      </c>
      <c r="B5" s="64" t="s">
        <v>402</v>
      </c>
      <c r="C5" s="65" t="s">
        <v>402</v>
      </c>
      <c r="D5" s="28" t="s">
        <v>406</v>
      </c>
      <c r="E5" s="29">
        <v>5</v>
      </c>
      <c r="F5" s="29">
        <v>4</v>
      </c>
      <c r="G5" s="29">
        <f t="shared" si="0"/>
        <v>9</v>
      </c>
    </row>
    <row r="6" spans="1:7" x14ac:dyDescent="0.25">
      <c r="A6" s="25">
        <v>3</v>
      </c>
      <c r="B6" s="64" t="s">
        <v>403</v>
      </c>
      <c r="C6" s="65" t="s">
        <v>403</v>
      </c>
      <c r="D6" s="28" t="s">
        <v>407</v>
      </c>
      <c r="E6" s="29">
        <v>4</v>
      </c>
      <c r="F6" s="29">
        <v>3</v>
      </c>
      <c r="G6" s="29">
        <f t="shared" si="0"/>
        <v>7</v>
      </c>
    </row>
    <row r="7" spans="1:7" x14ac:dyDescent="0.25">
      <c r="A7" s="25">
        <v>4</v>
      </c>
      <c r="B7" s="64" t="s">
        <v>153</v>
      </c>
      <c r="C7" s="65" t="s">
        <v>153</v>
      </c>
      <c r="D7" s="28" t="s">
        <v>408</v>
      </c>
      <c r="E7" s="29">
        <v>3</v>
      </c>
      <c r="F7" s="29">
        <v>2</v>
      </c>
      <c r="G7" s="29">
        <f t="shared" si="0"/>
        <v>5</v>
      </c>
    </row>
    <row r="8" spans="1:7" x14ac:dyDescent="0.25">
      <c r="A8" s="25">
        <v>5</v>
      </c>
      <c r="B8" s="64" t="s">
        <v>404</v>
      </c>
      <c r="C8" s="65" t="s">
        <v>404</v>
      </c>
      <c r="D8" s="28" t="s">
        <v>409</v>
      </c>
      <c r="E8" s="29">
        <v>1</v>
      </c>
      <c r="F8" s="29">
        <v>1</v>
      </c>
      <c r="G8" s="29">
        <f t="shared" si="0"/>
        <v>2</v>
      </c>
    </row>
    <row r="9" spans="1:7" x14ac:dyDescent="0.25">
      <c r="A9" s="66" t="s">
        <v>71</v>
      </c>
      <c r="B9" s="67"/>
      <c r="C9" s="67"/>
      <c r="D9" s="68"/>
      <c r="E9" s="27">
        <f>SUM(E4:E8)</f>
        <v>17</v>
      </c>
      <c r="F9" s="27">
        <f>SUM(F4:F8)</f>
        <v>14</v>
      </c>
      <c r="G9" s="27">
        <f t="shared" si="0"/>
        <v>31</v>
      </c>
    </row>
  </sheetData>
  <mergeCells count="10">
    <mergeCell ref="E2:G2"/>
    <mergeCell ref="B4:C4"/>
    <mergeCell ref="B5:C5"/>
    <mergeCell ref="A9:D9"/>
    <mergeCell ref="B6:C6"/>
    <mergeCell ref="B7:C7"/>
    <mergeCell ref="B8:C8"/>
    <mergeCell ref="A2:A3"/>
    <mergeCell ref="B2:C3"/>
    <mergeCell ref="D2:D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9A261-FBD1-4494-85A2-C2D862E5618C}">
  <dimension ref="A2:G13"/>
  <sheetViews>
    <sheetView rightToLeft="1" workbookViewId="0">
      <selection activeCell="F16" sqref="F16"/>
    </sheetView>
  </sheetViews>
  <sheetFormatPr baseColWidth="10" defaultRowHeight="15" x14ac:dyDescent="0.25"/>
  <cols>
    <col min="1" max="1" width="6.28515625" customWidth="1"/>
    <col min="4" max="4" width="25.42578125" customWidth="1"/>
  </cols>
  <sheetData>
    <row r="2" spans="1:7" ht="23.25" x14ac:dyDescent="0.25">
      <c r="A2" s="51" t="s">
        <v>80</v>
      </c>
      <c r="B2" s="69" t="s">
        <v>81</v>
      </c>
      <c r="C2" s="70"/>
      <c r="D2" s="51" t="s">
        <v>82</v>
      </c>
      <c r="E2" s="48" t="s">
        <v>76</v>
      </c>
      <c r="F2" s="49"/>
      <c r="G2" s="50"/>
    </row>
    <row r="3" spans="1:7" ht="18.75" x14ac:dyDescent="0.25">
      <c r="A3" s="52"/>
      <c r="B3" s="71"/>
      <c r="C3" s="72"/>
      <c r="D3" s="52"/>
      <c r="E3" s="16" t="s">
        <v>77</v>
      </c>
      <c r="F3" s="16" t="s">
        <v>78</v>
      </c>
      <c r="G3" s="16" t="s">
        <v>79</v>
      </c>
    </row>
    <row r="4" spans="1:7" x14ac:dyDescent="0.25">
      <c r="A4" s="25">
        <v>1</v>
      </c>
      <c r="B4" s="64" t="s">
        <v>410</v>
      </c>
      <c r="C4" s="65" t="s">
        <v>410</v>
      </c>
      <c r="D4" s="28" t="s">
        <v>419</v>
      </c>
      <c r="E4" s="29">
        <v>6</v>
      </c>
      <c r="F4" s="29">
        <v>6</v>
      </c>
      <c r="G4" s="29">
        <f t="shared" ref="G4:G12" si="0">SUM(E4:F4)</f>
        <v>12</v>
      </c>
    </row>
    <row r="5" spans="1:7" x14ac:dyDescent="0.25">
      <c r="A5" s="25">
        <v>2</v>
      </c>
      <c r="B5" s="64" t="s">
        <v>411</v>
      </c>
      <c r="C5" s="65" t="s">
        <v>411</v>
      </c>
      <c r="D5" s="28" t="s">
        <v>419</v>
      </c>
      <c r="E5" s="29">
        <v>3</v>
      </c>
      <c r="F5" s="29">
        <v>3</v>
      </c>
      <c r="G5" s="29">
        <f t="shared" si="0"/>
        <v>6</v>
      </c>
    </row>
    <row r="6" spans="1:7" x14ac:dyDescent="0.25">
      <c r="A6" s="25">
        <v>3</v>
      </c>
      <c r="B6" s="64" t="s">
        <v>412</v>
      </c>
      <c r="C6" s="65" t="s">
        <v>412</v>
      </c>
      <c r="D6" s="28" t="s">
        <v>420</v>
      </c>
      <c r="E6" s="29">
        <v>6</v>
      </c>
      <c r="F6" s="29">
        <v>6</v>
      </c>
      <c r="G6" s="29">
        <f t="shared" si="0"/>
        <v>12</v>
      </c>
    </row>
    <row r="7" spans="1:7" x14ac:dyDescent="0.25">
      <c r="A7" s="25">
        <v>4</v>
      </c>
      <c r="B7" s="64" t="s">
        <v>413</v>
      </c>
      <c r="C7" s="65" t="s">
        <v>413</v>
      </c>
      <c r="D7" s="28" t="s">
        <v>421</v>
      </c>
      <c r="E7" s="29">
        <v>2</v>
      </c>
      <c r="F7" s="29">
        <v>2</v>
      </c>
      <c r="G7" s="29">
        <f t="shared" si="0"/>
        <v>4</v>
      </c>
    </row>
    <row r="8" spans="1:7" x14ac:dyDescent="0.25">
      <c r="A8" s="25">
        <v>5</v>
      </c>
      <c r="B8" s="64" t="s">
        <v>414</v>
      </c>
      <c r="C8" s="65" t="s">
        <v>414</v>
      </c>
      <c r="D8" s="28" t="s">
        <v>422</v>
      </c>
      <c r="E8" s="29">
        <v>2</v>
      </c>
      <c r="F8" s="29">
        <v>2</v>
      </c>
      <c r="G8" s="29">
        <f t="shared" si="0"/>
        <v>4</v>
      </c>
    </row>
    <row r="9" spans="1:7" x14ac:dyDescent="0.25">
      <c r="A9" s="25">
        <v>6</v>
      </c>
      <c r="B9" s="64" t="s">
        <v>415</v>
      </c>
      <c r="C9" s="65" t="s">
        <v>415</v>
      </c>
      <c r="D9" s="28" t="s">
        <v>423</v>
      </c>
      <c r="E9" s="29">
        <v>2</v>
      </c>
      <c r="F9" s="29">
        <v>1</v>
      </c>
      <c r="G9" s="29">
        <f t="shared" si="0"/>
        <v>3</v>
      </c>
    </row>
    <row r="10" spans="1:7" x14ac:dyDescent="0.25">
      <c r="A10" s="25">
        <v>7</v>
      </c>
      <c r="B10" s="64" t="s">
        <v>416</v>
      </c>
      <c r="C10" s="65" t="s">
        <v>416</v>
      </c>
      <c r="D10" s="28" t="s">
        <v>424</v>
      </c>
      <c r="E10" s="29">
        <v>1</v>
      </c>
      <c r="F10" s="29">
        <v>1</v>
      </c>
      <c r="G10" s="29">
        <f t="shared" si="0"/>
        <v>2</v>
      </c>
    </row>
    <row r="11" spans="1:7" x14ac:dyDescent="0.25">
      <c r="A11" s="25">
        <v>8</v>
      </c>
      <c r="B11" s="64" t="s">
        <v>417</v>
      </c>
      <c r="C11" s="65" t="s">
        <v>417</v>
      </c>
      <c r="D11" s="28" t="s">
        <v>425</v>
      </c>
      <c r="E11" s="29">
        <v>2</v>
      </c>
      <c r="F11" s="29">
        <v>1</v>
      </c>
      <c r="G11" s="29">
        <f t="shared" si="0"/>
        <v>3</v>
      </c>
    </row>
    <row r="12" spans="1:7" x14ac:dyDescent="0.25">
      <c r="A12" s="25">
        <v>9</v>
      </c>
      <c r="B12" s="64" t="s">
        <v>418</v>
      </c>
      <c r="C12" s="65" t="s">
        <v>418</v>
      </c>
      <c r="D12" s="28" t="s">
        <v>426</v>
      </c>
      <c r="E12" s="29">
        <v>2</v>
      </c>
      <c r="F12" s="29">
        <v>1</v>
      </c>
      <c r="G12" s="29">
        <f t="shared" si="0"/>
        <v>3</v>
      </c>
    </row>
    <row r="13" spans="1:7" x14ac:dyDescent="0.25">
      <c r="A13" s="66" t="s">
        <v>71</v>
      </c>
      <c r="B13" s="67"/>
      <c r="C13" s="67"/>
      <c r="D13" s="68"/>
      <c r="E13" s="27">
        <f>SUM(E4:E12)</f>
        <v>26</v>
      </c>
      <c r="F13" s="27">
        <f>SUM(F4:F12)</f>
        <v>23</v>
      </c>
      <c r="G13" s="27">
        <f>SUM(G4:G12)</f>
        <v>49</v>
      </c>
    </row>
  </sheetData>
  <mergeCells count="14">
    <mergeCell ref="A13:D13"/>
    <mergeCell ref="B12:C12"/>
    <mergeCell ref="B6:C6"/>
    <mergeCell ref="B7:C7"/>
    <mergeCell ref="B8:C8"/>
    <mergeCell ref="B9:C9"/>
    <mergeCell ref="B10:C10"/>
    <mergeCell ref="B11:C11"/>
    <mergeCell ref="B5:C5"/>
    <mergeCell ref="A2:A3"/>
    <mergeCell ref="B2:C3"/>
    <mergeCell ref="D2:D3"/>
    <mergeCell ref="E2:G2"/>
    <mergeCell ref="B4:C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63256-480D-481C-99D9-424D2F00C2BD}">
  <dimension ref="A2:G13"/>
  <sheetViews>
    <sheetView rightToLeft="1" workbookViewId="0">
      <selection activeCell="G16" sqref="G16"/>
    </sheetView>
  </sheetViews>
  <sheetFormatPr baseColWidth="10" defaultRowHeight="15" x14ac:dyDescent="0.25"/>
  <cols>
    <col min="1" max="1" width="6.28515625" customWidth="1"/>
    <col min="4" max="4" width="25.42578125" customWidth="1"/>
  </cols>
  <sheetData>
    <row r="2" spans="1:7" ht="23.25" x14ac:dyDescent="0.25">
      <c r="A2" s="51" t="s">
        <v>80</v>
      </c>
      <c r="B2" s="69" t="s">
        <v>81</v>
      </c>
      <c r="C2" s="70"/>
      <c r="D2" s="51" t="s">
        <v>82</v>
      </c>
      <c r="E2" s="48" t="s">
        <v>76</v>
      </c>
      <c r="F2" s="49"/>
      <c r="G2" s="50"/>
    </row>
    <row r="3" spans="1:7" ht="18.75" x14ac:dyDescent="0.25">
      <c r="A3" s="52"/>
      <c r="B3" s="71"/>
      <c r="C3" s="72"/>
      <c r="D3" s="52"/>
      <c r="E3" s="16" t="s">
        <v>77</v>
      </c>
      <c r="F3" s="16" t="s">
        <v>78</v>
      </c>
      <c r="G3" s="16" t="s">
        <v>79</v>
      </c>
    </row>
    <row r="4" spans="1:7" x14ac:dyDescent="0.25">
      <c r="A4" s="25">
        <v>1</v>
      </c>
      <c r="B4" s="64" t="s">
        <v>427</v>
      </c>
      <c r="C4" s="65" t="s">
        <v>427</v>
      </c>
      <c r="D4" s="28" t="s">
        <v>436</v>
      </c>
      <c r="E4" s="29">
        <v>6</v>
      </c>
      <c r="F4" s="29">
        <v>6</v>
      </c>
      <c r="G4" s="29">
        <f t="shared" ref="G4:G12" si="0">SUM(E4:F4)</f>
        <v>12</v>
      </c>
    </row>
    <row r="5" spans="1:7" x14ac:dyDescent="0.25">
      <c r="A5" s="25">
        <v>2</v>
      </c>
      <c r="B5" s="64" t="s">
        <v>428</v>
      </c>
      <c r="C5" s="65" t="s">
        <v>428</v>
      </c>
      <c r="D5" s="28" t="s">
        <v>437</v>
      </c>
      <c r="E5" s="29">
        <v>9</v>
      </c>
      <c r="F5" s="29">
        <v>0</v>
      </c>
      <c r="G5" s="29">
        <f t="shared" si="0"/>
        <v>9</v>
      </c>
    </row>
    <row r="6" spans="1:7" x14ac:dyDescent="0.25">
      <c r="A6" s="25">
        <v>3</v>
      </c>
      <c r="B6" s="64" t="s">
        <v>429</v>
      </c>
      <c r="C6" s="65" t="s">
        <v>429</v>
      </c>
      <c r="D6" s="28" t="s">
        <v>437</v>
      </c>
      <c r="E6" s="29">
        <v>0</v>
      </c>
      <c r="F6" s="29">
        <v>8</v>
      </c>
      <c r="G6" s="29">
        <f t="shared" si="0"/>
        <v>8</v>
      </c>
    </row>
    <row r="7" spans="1:7" x14ac:dyDescent="0.25">
      <c r="A7" s="25">
        <v>4</v>
      </c>
      <c r="B7" s="64" t="s">
        <v>430</v>
      </c>
      <c r="C7" s="65" t="s">
        <v>430</v>
      </c>
      <c r="D7" s="28" t="s">
        <v>438</v>
      </c>
      <c r="E7" s="29">
        <v>2</v>
      </c>
      <c r="F7" s="29">
        <v>2</v>
      </c>
      <c r="G7" s="29">
        <f t="shared" si="0"/>
        <v>4</v>
      </c>
    </row>
    <row r="8" spans="1:7" x14ac:dyDescent="0.25">
      <c r="A8" s="25">
        <v>5</v>
      </c>
      <c r="B8" s="64" t="s">
        <v>431</v>
      </c>
      <c r="C8" s="65" t="s">
        <v>431</v>
      </c>
      <c r="D8" s="28" t="s">
        <v>439</v>
      </c>
      <c r="E8" s="29">
        <v>6</v>
      </c>
      <c r="F8" s="29">
        <v>5</v>
      </c>
      <c r="G8" s="29">
        <f t="shared" si="0"/>
        <v>11</v>
      </c>
    </row>
    <row r="9" spans="1:7" x14ac:dyDescent="0.25">
      <c r="A9" s="25">
        <v>6</v>
      </c>
      <c r="B9" s="64" t="s">
        <v>432</v>
      </c>
      <c r="C9" s="65" t="s">
        <v>432</v>
      </c>
      <c r="D9" s="28" t="s">
        <v>440</v>
      </c>
      <c r="E9" s="29">
        <v>6</v>
      </c>
      <c r="F9" s="29">
        <v>6</v>
      </c>
      <c r="G9" s="29">
        <f t="shared" si="0"/>
        <v>12</v>
      </c>
    </row>
    <row r="10" spans="1:7" x14ac:dyDescent="0.25">
      <c r="A10" s="25">
        <v>7</v>
      </c>
      <c r="B10" s="64" t="s">
        <v>433</v>
      </c>
      <c r="C10" s="65" t="s">
        <v>433</v>
      </c>
      <c r="D10" s="28" t="s">
        <v>440</v>
      </c>
      <c r="E10" s="29">
        <v>7</v>
      </c>
      <c r="F10" s="29">
        <v>3</v>
      </c>
      <c r="G10" s="29">
        <f t="shared" si="0"/>
        <v>10</v>
      </c>
    </row>
    <row r="11" spans="1:7" x14ac:dyDescent="0.25">
      <c r="A11" s="25">
        <v>8</v>
      </c>
      <c r="B11" s="64" t="s">
        <v>434</v>
      </c>
      <c r="C11" s="65" t="s">
        <v>434</v>
      </c>
      <c r="D11" s="28" t="s">
        <v>441</v>
      </c>
      <c r="E11" s="29">
        <v>4</v>
      </c>
      <c r="F11" s="29">
        <v>4</v>
      </c>
      <c r="G11" s="29">
        <f t="shared" si="0"/>
        <v>8</v>
      </c>
    </row>
    <row r="12" spans="1:7" x14ac:dyDescent="0.25">
      <c r="A12" s="25">
        <v>9</v>
      </c>
      <c r="B12" s="64" t="s">
        <v>435</v>
      </c>
      <c r="C12" s="65" t="s">
        <v>435</v>
      </c>
      <c r="D12" s="28" t="s">
        <v>442</v>
      </c>
      <c r="E12" s="29">
        <v>3</v>
      </c>
      <c r="F12" s="29">
        <v>2</v>
      </c>
      <c r="G12" s="29">
        <f t="shared" si="0"/>
        <v>5</v>
      </c>
    </row>
    <row r="13" spans="1:7" x14ac:dyDescent="0.25">
      <c r="A13" s="66" t="s">
        <v>71</v>
      </c>
      <c r="B13" s="67"/>
      <c r="C13" s="67"/>
      <c r="D13" s="68"/>
      <c r="E13" s="27">
        <f>SUM(E4:E12)</f>
        <v>43</v>
      </c>
      <c r="F13" s="27">
        <f>SUM(F4:F12)</f>
        <v>36</v>
      </c>
      <c r="G13" s="27">
        <f>SUM(G4:G12)</f>
        <v>79</v>
      </c>
    </row>
  </sheetData>
  <mergeCells count="14">
    <mergeCell ref="B12:C12"/>
    <mergeCell ref="A13:D13"/>
    <mergeCell ref="B6:C6"/>
    <mergeCell ref="B7:C7"/>
    <mergeCell ref="B8:C8"/>
    <mergeCell ref="B9:C9"/>
    <mergeCell ref="B10:C10"/>
    <mergeCell ref="B11:C11"/>
    <mergeCell ref="B5:C5"/>
    <mergeCell ref="A2:A3"/>
    <mergeCell ref="B2:C3"/>
    <mergeCell ref="D2:D3"/>
    <mergeCell ref="E2:G2"/>
    <mergeCell ref="B4:C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B6DC7-6798-4B09-B5BE-896E0631180D}">
  <dimension ref="A2:G18"/>
  <sheetViews>
    <sheetView rightToLeft="1" workbookViewId="0">
      <selection activeCell="J25" sqref="J25"/>
    </sheetView>
  </sheetViews>
  <sheetFormatPr baseColWidth="10" defaultRowHeight="15" x14ac:dyDescent="0.25"/>
  <cols>
    <col min="1" max="1" width="6.28515625" customWidth="1"/>
    <col min="4" max="4" width="22" customWidth="1"/>
  </cols>
  <sheetData>
    <row r="2" spans="1:7" ht="23.25" x14ac:dyDescent="0.25">
      <c r="A2" s="51" t="s">
        <v>80</v>
      </c>
      <c r="B2" s="69" t="s">
        <v>81</v>
      </c>
      <c r="C2" s="70"/>
      <c r="D2" s="51" t="s">
        <v>82</v>
      </c>
      <c r="E2" s="48" t="s">
        <v>76</v>
      </c>
      <c r="F2" s="49"/>
      <c r="G2" s="50"/>
    </row>
    <row r="3" spans="1:7" ht="18.75" x14ac:dyDescent="0.25">
      <c r="A3" s="52"/>
      <c r="B3" s="71"/>
      <c r="C3" s="72"/>
      <c r="D3" s="52"/>
      <c r="E3" s="16" t="s">
        <v>77</v>
      </c>
      <c r="F3" s="16" t="s">
        <v>78</v>
      </c>
      <c r="G3" s="16" t="s">
        <v>79</v>
      </c>
    </row>
    <row r="4" spans="1:7" x14ac:dyDescent="0.25">
      <c r="A4" s="25">
        <v>1</v>
      </c>
      <c r="B4" s="64" t="s">
        <v>443</v>
      </c>
      <c r="C4" s="65" t="s">
        <v>443</v>
      </c>
      <c r="D4" s="28" t="s">
        <v>456</v>
      </c>
      <c r="E4" s="29">
        <v>5</v>
      </c>
      <c r="F4" s="29">
        <v>0</v>
      </c>
      <c r="G4" s="29">
        <f t="shared" ref="G4:G17" si="0">SUM(E4:F4)</f>
        <v>5</v>
      </c>
    </row>
    <row r="5" spans="1:7" x14ac:dyDescent="0.25">
      <c r="A5" s="25">
        <v>2</v>
      </c>
      <c r="B5" s="64" t="s">
        <v>444</v>
      </c>
      <c r="C5" s="65" t="s">
        <v>444</v>
      </c>
      <c r="D5" s="28" t="s">
        <v>457</v>
      </c>
      <c r="E5" s="29">
        <v>3</v>
      </c>
      <c r="F5" s="29">
        <v>6</v>
      </c>
      <c r="G5" s="29">
        <f t="shared" si="0"/>
        <v>9</v>
      </c>
    </row>
    <row r="6" spans="1:7" x14ac:dyDescent="0.25">
      <c r="A6" s="25">
        <v>3</v>
      </c>
      <c r="B6" s="64" t="s">
        <v>168</v>
      </c>
      <c r="C6" s="65" t="s">
        <v>168</v>
      </c>
      <c r="D6" s="28" t="s">
        <v>458</v>
      </c>
      <c r="E6" s="29">
        <v>2</v>
      </c>
      <c r="F6" s="29">
        <v>2</v>
      </c>
      <c r="G6" s="29">
        <f t="shared" si="0"/>
        <v>4</v>
      </c>
    </row>
    <row r="7" spans="1:7" x14ac:dyDescent="0.25">
      <c r="A7" s="25">
        <v>4</v>
      </c>
      <c r="B7" s="64" t="s">
        <v>445</v>
      </c>
      <c r="C7" s="65" t="s">
        <v>445</v>
      </c>
      <c r="D7" s="28" t="s">
        <v>459</v>
      </c>
      <c r="E7" s="29">
        <v>3</v>
      </c>
      <c r="F7" s="29">
        <v>3</v>
      </c>
      <c r="G7" s="29">
        <f t="shared" si="0"/>
        <v>6</v>
      </c>
    </row>
    <row r="8" spans="1:7" x14ac:dyDescent="0.25">
      <c r="A8" s="25">
        <v>5</v>
      </c>
      <c r="B8" s="64" t="s">
        <v>446</v>
      </c>
      <c r="C8" s="65" t="s">
        <v>446</v>
      </c>
      <c r="D8" s="28" t="s">
        <v>460</v>
      </c>
      <c r="E8" s="29">
        <v>3</v>
      </c>
      <c r="F8" s="29">
        <v>2</v>
      </c>
      <c r="G8" s="29">
        <f t="shared" si="0"/>
        <v>5</v>
      </c>
    </row>
    <row r="9" spans="1:7" x14ac:dyDescent="0.25">
      <c r="A9" s="25">
        <v>6</v>
      </c>
      <c r="B9" s="64" t="s">
        <v>447</v>
      </c>
      <c r="C9" s="65" t="s">
        <v>447</v>
      </c>
      <c r="D9" s="28" t="s">
        <v>461</v>
      </c>
      <c r="E9" s="29">
        <v>2</v>
      </c>
      <c r="F9" s="29">
        <v>2</v>
      </c>
      <c r="G9" s="29">
        <f t="shared" si="0"/>
        <v>4</v>
      </c>
    </row>
    <row r="10" spans="1:7" x14ac:dyDescent="0.25">
      <c r="A10" s="25">
        <v>7</v>
      </c>
      <c r="B10" s="64" t="s">
        <v>448</v>
      </c>
      <c r="C10" s="65" t="s">
        <v>448</v>
      </c>
      <c r="D10" s="28" t="s">
        <v>462</v>
      </c>
      <c r="E10" s="29">
        <v>4</v>
      </c>
      <c r="F10" s="29">
        <v>4</v>
      </c>
      <c r="G10" s="29">
        <f t="shared" si="0"/>
        <v>8</v>
      </c>
    </row>
    <row r="11" spans="1:7" x14ac:dyDescent="0.25">
      <c r="A11" s="25">
        <v>8</v>
      </c>
      <c r="B11" s="64" t="s">
        <v>449</v>
      </c>
      <c r="C11" s="65" t="s">
        <v>449</v>
      </c>
      <c r="D11" s="28" t="s">
        <v>462</v>
      </c>
      <c r="E11" s="29">
        <v>2</v>
      </c>
      <c r="F11" s="29">
        <v>2</v>
      </c>
      <c r="G11" s="29">
        <f t="shared" si="0"/>
        <v>4</v>
      </c>
    </row>
    <row r="12" spans="1:7" x14ac:dyDescent="0.25">
      <c r="A12" s="25">
        <v>9</v>
      </c>
      <c r="B12" s="64" t="s">
        <v>450</v>
      </c>
      <c r="C12" s="65" t="s">
        <v>450</v>
      </c>
      <c r="D12" s="28" t="s">
        <v>463</v>
      </c>
      <c r="E12" s="29">
        <v>9</v>
      </c>
      <c r="F12" s="29">
        <v>0</v>
      </c>
      <c r="G12" s="29">
        <f t="shared" si="0"/>
        <v>9</v>
      </c>
    </row>
    <row r="13" spans="1:7" x14ac:dyDescent="0.25">
      <c r="A13" s="25">
        <v>10</v>
      </c>
      <c r="B13" s="64" t="s">
        <v>451</v>
      </c>
      <c r="C13" s="65" t="s">
        <v>451</v>
      </c>
      <c r="D13" s="28" t="s">
        <v>464</v>
      </c>
      <c r="E13" s="29">
        <v>0</v>
      </c>
      <c r="F13" s="29">
        <v>8</v>
      </c>
      <c r="G13" s="29">
        <f t="shared" si="0"/>
        <v>8</v>
      </c>
    </row>
    <row r="14" spans="1:7" x14ac:dyDescent="0.25">
      <c r="A14" s="25">
        <v>11</v>
      </c>
      <c r="B14" s="64" t="s">
        <v>452</v>
      </c>
      <c r="C14" s="65" t="s">
        <v>452</v>
      </c>
      <c r="D14" s="28" t="s">
        <v>465</v>
      </c>
      <c r="E14" s="29">
        <v>6</v>
      </c>
      <c r="F14" s="29">
        <v>5</v>
      </c>
      <c r="G14" s="29">
        <f t="shared" si="0"/>
        <v>11</v>
      </c>
    </row>
    <row r="15" spans="1:7" x14ac:dyDescent="0.25">
      <c r="A15" s="25">
        <v>12</v>
      </c>
      <c r="B15" s="64" t="s">
        <v>453</v>
      </c>
      <c r="C15" s="65" t="s">
        <v>453</v>
      </c>
      <c r="D15" s="28" t="s">
        <v>466</v>
      </c>
      <c r="E15" s="29">
        <v>5</v>
      </c>
      <c r="F15" s="29">
        <v>4</v>
      </c>
      <c r="G15" s="29">
        <f t="shared" si="0"/>
        <v>9</v>
      </c>
    </row>
    <row r="16" spans="1:7" x14ac:dyDescent="0.25">
      <c r="A16" s="25">
        <v>13</v>
      </c>
      <c r="B16" s="64" t="s">
        <v>454</v>
      </c>
      <c r="C16" s="65" t="s">
        <v>454</v>
      </c>
      <c r="D16" s="28" t="s">
        <v>467</v>
      </c>
      <c r="E16" s="29">
        <v>1</v>
      </c>
      <c r="F16" s="29">
        <v>1</v>
      </c>
      <c r="G16" s="29">
        <f t="shared" si="0"/>
        <v>2</v>
      </c>
    </row>
    <row r="17" spans="1:7" x14ac:dyDescent="0.25">
      <c r="A17" s="25">
        <v>14</v>
      </c>
      <c r="B17" s="64" t="s">
        <v>455</v>
      </c>
      <c r="C17" s="65" t="s">
        <v>455</v>
      </c>
      <c r="D17" s="28" t="s">
        <v>468</v>
      </c>
      <c r="E17" s="29">
        <v>2</v>
      </c>
      <c r="F17" s="29">
        <v>2</v>
      </c>
      <c r="G17" s="29">
        <f t="shared" si="0"/>
        <v>4</v>
      </c>
    </row>
    <row r="18" spans="1:7" x14ac:dyDescent="0.25">
      <c r="A18" s="66" t="s">
        <v>71</v>
      </c>
      <c r="B18" s="67"/>
      <c r="C18" s="67"/>
      <c r="D18" s="68"/>
      <c r="E18" s="27">
        <f>SUM(E4:E17)</f>
        <v>47</v>
      </c>
      <c r="F18" s="27">
        <f>SUM(F4:F17)</f>
        <v>41</v>
      </c>
      <c r="G18" s="27">
        <f>SUM(G4:G17)</f>
        <v>88</v>
      </c>
    </row>
  </sheetData>
  <mergeCells count="19">
    <mergeCell ref="A18:D18"/>
    <mergeCell ref="B12:C12"/>
    <mergeCell ref="B13:C13"/>
    <mergeCell ref="B14:C14"/>
    <mergeCell ref="B15:C15"/>
    <mergeCell ref="B16:C16"/>
    <mergeCell ref="B17:C17"/>
    <mergeCell ref="B11:C11"/>
    <mergeCell ref="A2:A3"/>
    <mergeCell ref="B2:C3"/>
    <mergeCell ref="D2:D3"/>
    <mergeCell ref="E2:G2"/>
    <mergeCell ref="B4:C4"/>
    <mergeCell ref="B5:C5"/>
    <mergeCell ref="B6:C6"/>
    <mergeCell ref="B7:C7"/>
    <mergeCell ref="B8:C8"/>
    <mergeCell ref="B9:C9"/>
    <mergeCell ref="B10:C10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588A7-7347-421B-AA53-66C542D1FC1C}">
  <dimension ref="A2:G13"/>
  <sheetViews>
    <sheetView rightToLeft="1" topLeftCell="B1" workbookViewId="0">
      <selection activeCell="E4" sqref="E4:G12"/>
    </sheetView>
  </sheetViews>
  <sheetFormatPr baseColWidth="10" defaultRowHeight="15" x14ac:dyDescent="0.25"/>
  <cols>
    <col min="1" max="1" width="6.28515625" customWidth="1"/>
    <col min="4" max="4" width="25.42578125" customWidth="1"/>
  </cols>
  <sheetData>
    <row r="2" spans="1:7" ht="23.25" x14ac:dyDescent="0.25">
      <c r="A2" s="51" t="s">
        <v>80</v>
      </c>
      <c r="B2" s="69" t="s">
        <v>81</v>
      </c>
      <c r="C2" s="70"/>
      <c r="D2" s="51" t="s">
        <v>82</v>
      </c>
      <c r="E2" s="48" t="s">
        <v>76</v>
      </c>
      <c r="F2" s="49"/>
      <c r="G2" s="50"/>
    </row>
    <row r="3" spans="1:7" ht="18.75" x14ac:dyDescent="0.25">
      <c r="A3" s="52"/>
      <c r="B3" s="71"/>
      <c r="C3" s="72"/>
      <c r="D3" s="52"/>
      <c r="E3" s="16" t="s">
        <v>77</v>
      </c>
      <c r="F3" s="16" t="s">
        <v>78</v>
      </c>
      <c r="G3" s="16" t="s">
        <v>79</v>
      </c>
    </row>
    <row r="4" spans="1:7" x14ac:dyDescent="0.25">
      <c r="A4" s="25">
        <v>1</v>
      </c>
      <c r="B4" s="64" t="s">
        <v>469</v>
      </c>
      <c r="C4" s="65" t="s">
        <v>469</v>
      </c>
      <c r="D4" s="28" t="s">
        <v>478</v>
      </c>
      <c r="E4" s="29">
        <v>0</v>
      </c>
      <c r="F4" s="29">
        <v>10</v>
      </c>
      <c r="G4" s="29">
        <f t="shared" ref="G4:G12" si="0">SUM(E4:F4)</f>
        <v>10</v>
      </c>
    </row>
    <row r="5" spans="1:7" x14ac:dyDescent="0.25">
      <c r="A5" s="25">
        <v>2</v>
      </c>
      <c r="B5" s="64" t="s">
        <v>470</v>
      </c>
      <c r="C5" s="65" t="s">
        <v>470</v>
      </c>
      <c r="D5" s="28" t="s">
        <v>478</v>
      </c>
      <c r="E5" s="29">
        <v>10</v>
      </c>
      <c r="F5" s="29">
        <v>0</v>
      </c>
      <c r="G5" s="29">
        <f t="shared" si="0"/>
        <v>10</v>
      </c>
    </row>
    <row r="6" spans="1:7" x14ac:dyDescent="0.25">
      <c r="A6" s="25">
        <v>3</v>
      </c>
      <c r="B6" s="64" t="s">
        <v>471</v>
      </c>
      <c r="C6" s="65" t="s">
        <v>471</v>
      </c>
      <c r="D6" s="28" t="s">
        <v>479</v>
      </c>
      <c r="E6" s="29">
        <v>5</v>
      </c>
      <c r="F6" s="29">
        <v>5</v>
      </c>
      <c r="G6" s="29">
        <f t="shared" si="0"/>
        <v>10</v>
      </c>
    </row>
    <row r="7" spans="1:7" x14ac:dyDescent="0.25">
      <c r="A7" s="25">
        <v>4</v>
      </c>
      <c r="B7" s="64" t="s">
        <v>472</v>
      </c>
      <c r="C7" s="65" t="s">
        <v>472</v>
      </c>
      <c r="D7" s="28" t="s">
        <v>480</v>
      </c>
      <c r="E7" s="29">
        <v>4</v>
      </c>
      <c r="F7" s="29">
        <v>4</v>
      </c>
      <c r="G7" s="29">
        <f t="shared" si="0"/>
        <v>8</v>
      </c>
    </row>
    <row r="8" spans="1:7" x14ac:dyDescent="0.25">
      <c r="A8" s="25">
        <v>5</v>
      </c>
      <c r="B8" s="64" t="s">
        <v>473</v>
      </c>
      <c r="C8" s="65" t="s">
        <v>473</v>
      </c>
      <c r="D8" s="28" t="s">
        <v>480</v>
      </c>
      <c r="E8" s="29">
        <v>5</v>
      </c>
      <c r="F8" s="29">
        <v>5</v>
      </c>
      <c r="G8" s="29">
        <f t="shared" si="0"/>
        <v>10</v>
      </c>
    </row>
    <row r="9" spans="1:7" x14ac:dyDescent="0.25">
      <c r="A9" s="25">
        <v>6</v>
      </c>
      <c r="B9" s="64" t="s">
        <v>474</v>
      </c>
      <c r="C9" s="65" t="s">
        <v>474</v>
      </c>
      <c r="D9" s="28" t="s">
        <v>481</v>
      </c>
      <c r="E9" s="29">
        <v>5</v>
      </c>
      <c r="F9" s="29">
        <v>5</v>
      </c>
      <c r="G9" s="29">
        <f t="shared" si="0"/>
        <v>10</v>
      </c>
    </row>
    <row r="10" spans="1:7" x14ac:dyDescent="0.25">
      <c r="A10" s="25">
        <v>7</v>
      </c>
      <c r="B10" s="64" t="s">
        <v>475</v>
      </c>
      <c r="C10" s="65" t="s">
        <v>475</v>
      </c>
      <c r="D10" s="28" t="s">
        <v>482</v>
      </c>
      <c r="E10" s="29">
        <v>4</v>
      </c>
      <c r="F10" s="29">
        <v>3</v>
      </c>
      <c r="G10" s="29">
        <f t="shared" si="0"/>
        <v>7</v>
      </c>
    </row>
    <row r="11" spans="1:7" x14ac:dyDescent="0.25">
      <c r="A11" s="25">
        <v>8</v>
      </c>
      <c r="B11" s="64" t="s">
        <v>476</v>
      </c>
      <c r="C11" s="65" t="s">
        <v>476</v>
      </c>
      <c r="D11" s="28" t="s">
        <v>483</v>
      </c>
      <c r="E11" s="29">
        <v>5</v>
      </c>
      <c r="F11" s="29">
        <v>5</v>
      </c>
      <c r="G11" s="29">
        <f t="shared" si="0"/>
        <v>10</v>
      </c>
    </row>
    <row r="12" spans="1:7" x14ac:dyDescent="0.25">
      <c r="A12" s="25">
        <v>9</v>
      </c>
      <c r="B12" s="64" t="s">
        <v>477</v>
      </c>
      <c r="C12" s="65" t="s">
        <v>477</v>
      </c>
      <c r="D12" s="28" t="s">
        <v>484</v>
      </c>
      <c r="E12" s="29">
        <v>2</v>
      </c>
      <c r="F12" s="29">
        <v>2</v>
      </c>
      <c r="G12" s="29">
        <f t="shared" si="0"/>
        <v>4</v>
      </c>
    </row>
    <row r="13" spans="1:7" x14ac:dyDescent="0.25">
      <c r="A13" s="66" t="s">
        <v>71</v>
      </c>
      <c r="B13" s="67"/>
      <c r="C13" s="67"/>
      <c r="D13" s="68"/>
      <c r="E13" s="27">
        <f>SUM(E4:E12)</f>
        <v>40</v>
      </c>
      <c r="F13" s="27">
        <f>SUM(F4:F12)</f>
        <v>39</v>
      </c>
      <c r="G13" s="27">
        <f>SUM(G4:G12)</f>
        <v>79</v>
      </c>
    </row>
  </sheetData>
  <mergeCells count="14">
    <mergeCell ref="B12:C12"/>
    <mergeCell ref="A13:D13"/>
    <mergeCell ref="B6:C6"/>
    <mergeCell ref="B7:C7"/>
    <mergeCell ref="B8:C8"/>
    <mergeCell ref="B9:C9"/>
    <mergeCell ref="B10:C10"/>
    <mergeCell ref="B11:C11"/>
    <mergeCell ref="B5:C5"/>
    <mergeCell ref="A2:A3"/>
    <mergeCell ref="B2:C3"/>
    <mergeCell ref="D2:D3"/>
    <mergeCell ref="E2:G2"/>
    <mergeCell ref="B4:C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1DB48-04BA-429E-9D1E-B1EB4F2D0AA2}">
  <dimension ref="A2:G19"/>
  <sheetViews>
    <sheetView rightToLeft="1" workbookViewId="0">
      <selection activeCell="G23" sqref="G23"/>
    </sheetView>
  </sheetViews>
  <sheetFormatPr baseColWidth="10" defaultRowHeight="15" x14ac:dyDescent="0.25"/>
  <cols>
    <col min="1" max="1" width="6.28515625" customWidth="1"/>
    <col min="4" max="4" width="22" customWidth="1"/>
  </cols>
  <sheetData>
    <row r="2" spans="1:7" ht="23.25" x14ac:dyDescent="0.25">
      <c r="A2" s="51" t="s">
        <v>80</v>
      </c>
      <c r="B2" s="69" t="s">
        <v>81</v>
      </c>
      <c r="C2" s="70"/>
      <c r="D2" s="51" t="s">
        <v>82</v>
      </c>
      <c r="E2" s="48" t="s">
        <v>76</v>
      </c>
      <c r="F2" s="49"/>
      <c r="G2" s="50"/>
    </row>
    <row r="3" spans="1:7" ht="18.75" x14ac:dyDescent="0.25">
      <c r="A3" s="52"/>
      <c r="B3" s="71"/>
      <c r="C3" s="72"/>
      <c r="D3" s="52"/>
      <c r="E3" s="16" t="s">
        <v>77</v>
      </c>
      <c r="F3" s="16" t="s">
        <v>78</v>
      </c>
      <c r="G3" s="16" t="s">
        <v>79</v>
      </c>
    </row>
    <row r="4" spans="1:7" x14ac:dyDescent="0.25">
      <c r="A4" s="25">
        <v>1</v>
      </c>
      <c r="B4" s="64" t="s">
        <v>485</v>
      </c>
      <c r="C4" s="65" t="s">
        <v>485</v>
      </c>
      <c r="D4" s="28" t="s">
        <v>500</v>
      </c>
      <c r="E4" s="29">
        <v>8</v>
      </c>
      <c r="F4" s="29">
        <v>0</v>
      </c>
      <c r="G4" s="29">
        <f t="shared" ref="G4:G18" si="0">SUM(E4:F4)</f>
        <v>8</v>
      </c>
    </row>
    <row r="5" spans="1:7" x14ac:dyDescent="0.25">
      <c r="A5" s="25">
        <v>2</v>
      </c>
      <c r="B5" s="64" t="s">
        <v>486</v>
      </c>
      <c r="C5" s="65" t="s">
        <v>486</v>
      </c>
      <c r="D5" s="28" t="s">
        <v>501</v>
      </c>
      <c r="E5" s="29">
        <v>0</v>
      </c>
      <c r="F5" s="29">
        <v>14</v>
      </c>
      <c r="G5" s="29">
        <f t="shared" si="0"/>
        <v>14</v>
      </c>
    </row>
    <row r="6" spans="1:7" x14ac:dyDescent="0.25">
      <c r="A6" s="25">
        <v>3</v>
      </c>
      <c r="B6" s="64" t="s">
        <v>487</v>
      </c>
      <c r="C6" s="65" t="s">
        <v>487</v>
      </c>
      <c r="D6" s="28" t="s">
        <v>502</v>
      </c>
      <c r="E6" s="29">
        <v>6</v>
      </c>
      <c r="F6" s="29">
        <v>0</v>
      </c>
      <c r="G6" s="29">
        <f t="shared" si="0"/>
        <v>6</v>
      </c>
    </row>
    <row r="7" spans="1:7" x14ac:dyDescent="0.25">
      <c r="A7" s="25">
        <v>4</v>
      </c>
      <c r="B7" s="64" t="s">
        <v>488</v>
      </c>
      <c r="C7" s="65" t="s">
        <v>488</v>
      </c>
      <c r="D7" s="28" t="s">
        <v>503</v>
      </c>
      <c r="E7" s="29">
        <v>6</v>
      </c>
      <c r="F7" s="29">
        <v>4</v>
      </c>
      <c r="G7" s="29">
        <f t="shared" si="0"/>
        <v>10</v>
      </c>
    </row>
    <row r="8" spans="1:7" x14ac:dyDescent="0.25">
      <c r="A8" s="25">
        <v>5</v>
      </c>
      <c r="B8" s="64" t="s">
        <v>489</v>
      </c>
      <c r="C8" s="65" t="s">
        <v>489</v>
      </c>
      <c r="D8" s="28" t="s">
        <v>504</v>
      </c>
      <c r="E8" s="29">
        <v>2</v>
      </c>
      <c r="F8" s="29">
        <v>2</v>
      </c>
      <c r="G8" s="29">
        <f t="shared" si="0"/>
        <v>4</v>
      </c>
    </row>
    <row r="9" spans="1:7" x14ac:dyDescent="0.25">
      <c r="A9" s="25">
        <v>6</v>
      </c>
      <c r="B9" s="64" t="s">
        <v>490</v>
      </c>
      <c r="C9" s="65" t="s">
        <v>490</v>
      </c>
      <c r="D9" s="28" t="s">
        <v>505</v>
      </c>
      <c r="E9" s="29">
        <v>11</v>
      </c>
      <c r="F9" s="29">
        <v>0</v>
      </c>
      <c r="G9" s="29">
        <f t="shared" si="0"/>
        <v>11</v>
      </c>
    </row>
    <row r="10" spans="1:7" x14ac:dyDescent="0.25">
      <c r="A10" s="25">
        <v>7</v>
      </c>
      <c r="B10" s="64" t="s">
        <v>491</v>
      </c>
      <c r="C10" s="65" t="s">
        <v>491</v>
      </c>
      <c r="D10" s="28" t="s">
        <v>506</v>
      </c>
      <c r="E10" s="29">
        <v>0</v>
      </c>
      <c r="F10" s="29">
        <v>10</v>
      </c>
      <c r="G10" s="29">
        <f t="shared" si="0"/>
        <v>10</v>
      </c>
    </row>
    <row r="11" spans="1:7" x14ac:dyDescent="0.25">
      <c r="A11" s="25">
        <v>8</v>
      </c>
      <c r="B11" s="64" t="s">
        <v>492</v>
      </c>
      <c r="C11" s="65" t="s">
        <v>492</v>
      </c>
      <c r="D11" s="28" t="s">
        <v>507</v>
      </c>
      <c r="E11" s="29">
        <v>6</v>
      </c>
      <c r="F11" s="29">
        <v>5</v>
      </c>
      <c r="G11" s="29">
        <f t="shared" si="0"/>
        <v>11</v>
      </c>
    </row>
    <row r="12" spans="1:7" x14ac:dyDescent="0.25">
      <c r="A12" s="25">
        <v>9</v>
      </c>
      <c r="B12" s="64" t="s">
        <v>493</v>
      </c>
      <c r="C12" s="65" t="s">
        <v>493</v>
      </c>
      <c r="D12" s="28" t="s">
        <v>502</v>
      </c>
      <c r="E12" s="29">
        <v>0</v>
      </c>
      <c r="F12" s="29">
        <v>5</v>
      </c>
      <c r="G12" s="29">
        <f t="shared" si="0"/>
        <v>5</v>
      </c>
    </row>
    <row r="13" spans="1:7" x14ac:dyDescent="0.25">
      <c r="A13" s="25">
        <v>10</v>
      </c>
      <c r="B13" s="64" t="s">
        <v>494</v>
      </c>
      <c r="C13" s="65" t="s">
        <v>494</v>
      </c>
      <c r="D13" s="28" t="s">
        <v>508</v>
      </c>
      <c r="E13" s="29">
        <v>8</v>
      </c>
      <c r="F13" s="29">
        <v>0</v>
      </c>
      <c r="G13" s="29">
        <f t="shared" si="0"/>
        <v>8</v>
      </c>
    </row>
    <row r="14" spans="1:7" x14ac:dyDescent="0.25">
      <c r="A14" s="25">
        <v>11</v>
      </c>
      <c r="B14" s="64" t="s">
        <v>495</v>
      </c>
      <c r="C14" s="65" t="s">
        <v>495</v>
      </c>
      <c r="D14" s="28" t="s">
        <v>509</v>
      </c>
      <c r="E14" s="29">
        <v>3</v>
      </c>
      <c r="F14" s="29">
        <v>3</v>
      </c>
      <c r="G14" s="29">
        <f t="shared" si="0"/>
        <v>6</v>
      </c>
    </row>
    <row r="15" spans="1:7" x14ac:dyDescent="0.25">
      <c r="A15" s="25">
        <v>12</v>
      </c>
      <c r="B15" s="64" t="s">
        <v>496</v>
      </c>
      <c r="C15" s="65" t="s">
        <v>496</v>
      </c>
      <c r="D15" s="28" t="s">
        <v>510</v>
      </c>
      <c r="E15" s="29">
        <v>1</v>
      </c>
      <c r="F15" s="29">
        <v>1</v>
      </c>
      <c r="G15" s="29">
        <f t="shared" si="0"/>
        <v>2</v>
      </c>
    </row>
    <row r="16" spans="1:7" x14ac:dyDescent="0.25">
      <c r="A16" s="25">
        <v>13</v>
      </c>
      <c r="B16" s="64" t="s">
        <v>497</v>
      </c>
      <c r="C16" s="65" t="s">
        <v>497</v>
      </c>
      <c r="D16" s="28" t="s">
        <v>511</v>
      </c>
      <c r="E16" s="29">
        <v>4</v>
      </c>
      <c r="F16" s="29">
        <v>4</v>
      </c>
      <c r="G16" s="29">
        <f t="shared" si="0"/>
        <v>8</v>
      </c>
    </row>
    <row r="17" spans="1:7" x14ac:dyDescent="0.25">
      <c r="A17" s="25">
        <v>14</v>
      </c>
      <c r="B17" s="64" t="s">
        <v>498</v>
      </c>
      <c r="C17" s="65" t="s">
        <v>498</v>
      </c>
      <c r="D17" s="28" t="s">
        <v>512</v>
      </c>
      <c r="E17" s="29">
        <v>2</v>
      </c>
      <c r="F17" s="29">
        <v>2</v>
      </c>
      <c r="G17" s="29">
        <f t="shared" si="0"/>
        <v>4</v>
      </c>
    </row>
    <row r="18" spans="1:7" x14ac:dyDescent="0.25">
      <c r="A18" s="25">
        <v>15</v>
      </c>
      <c r="B18" s="64" t="s">
        <v>499</v>
      </c>
      <c r="C18" s="65" t="s">
        <v>499</v>
      </c>
      <c r="D18" s="28" t="s">
        <v>513</v>
      </c>
      <c r="E18" s="29">
        <v>2</v>
      </c>
      <c r="F18" s="29">
        <v>2</v>
      </c>
      <c r="G18" s="29">
        <f t="shared" si="0"/>
        <v>4</v>
      </c>
    </row>
    <row r="19" spans="1:7" x14ac:dyDescent="0.25">
      <c r="A19" s="66" t="s">
        <v>71</v>
      </c>
      <c r="B19" s="67"/>
      <c r="C19" s="67"/>
      <c r="D19" s="68"/>
      <c r="E19" s="27">
        <f>SUM(E4:E18)</f>
        <v>59</v>
      </c>
      <c r="F19" s="27">
        <f>SUM(F4:F18)</f>
        <v>52</v>
      </c>
      <c r="G19" s="27">
        <f>SUM(G4:G18)</f>
        <v>111</v>
      </c>
    </row>
  </sheetData>
  <mergeCells count="20">
    <mergeCell ref="B18:C18"/>
    <mergeCell ref="A19:D19"/>
    <mergeCell ref="B12:C12"/>
    <mergeCell ref="B13:C13"/>
    <mergeCell ref="B14:C14"/>
    <mergeCell ref="B15:C15"/>
    <mergeCell ref="B16:C16"/>
    <mergeCell ref="B17:C17"/>
    <mergeCell ref="B11:C11"/>
    <mergeCell ref="A2:A3"/>
    <mergeCell ref="B2:C3"/>
    <mergeCell ref="D2:D3"/>
    <mergeCell ref="E2:G2"/>
    <mergeCell ref="B4:C4"/>
    <mergeCell ref="B5:C5"/>
    <mergeCell ref="B6:C6"/>
    <mergeCell ref="B7:C7"/>
    <mergeCell ref="B8:C8"/>
    <mergeCell ref="B9:C9"/>
    <mergeCell ref="B10:C1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55452-BFC2-4D7E-A9C9-A537698F69E3}">
  <dimension ref="A2:G8"/>
  <sheetViews>
    <sheetView rightToLeft="1" workbookViewId="0">
      <selection activeCell="E14" sqref="E14"/>
    </sheetView>
  </sheetViews>
  <sheetFormatPr baseColWidth="10" defaultRowHeight="15" x14ac:dyDescent="0.25"/>
  <cols>
    <col min="1" max="1" width="6.28515625" customWidth="1"/>
    <col min="4" max="4" width="22" customWidth="1"/>
  </cols>
  <sheetData>
    <row r="2" spans="1:7" ht="23.25" x14ac:dyDescent="0.25">
      <c r="A2" s="51" t="s">
        <v>80</v>
      </c>
      <c r="B2" s="69" t="s">
        <v>81</v>
      </c>
      <c r="C2" s="70"/>
      <c r="D2" s="51" t="s">
        <v>82</v>
      </c>
      <c r="E2" s="48" t="s">
        <v>76</v>
      </c>
      <c r="F2" s="49"/>
      <c r="G2" s="50"/>
    </row>
    <row r="3" spans="1:7" ht="18.75" x14ac:dyDescent="0.25">
      <c r="A3" s="52"/>
      <c r="B3" s="71"/>
      <c r="C3" s="72"/>
      <c r="D3" s="52"/>
      <c r="E3" s="16" t="s">
        <v>77</v>
      </c>
      <c r="F3" s="16" t="s">
        <v>78</v>
      </c>
      <c r="G3" s="16" t="s">
        <v>79</v>
      </c>
    </row>
    <row r="4" spans="1:7" x14ac:dyDescent="0.25">
      <c r="A4" s="25">
        <v>1</v>
      </c>
      <c r="B4" s="64" t="s">
        <v>514</v>
      </c>
      <c r="C4" s="65" t="s">
        <v>514</v>
      </c>
      <c r="D4" s="28" t="s">
        <v>517</v>
      </c>
      <c r="E4" s="29">
        <v>0</v>
      </c>
      <c r="F4" s="29">
        <v>8</v>
      </c>
      <c r="G4" s="29">
        <f>SUM(E4:F4)</f>
        <v>8</v>
      </c>
    </row>
    <row r="5" spans="1:7" x14ac:dyDescent="0.25">
      <c r="A5" s="25">
        <v>2</v>
      </c>
      <c r="B5" s="64" t="s">
        <v>153</v>
      </c>
      <c r="C5" s="65" t="s">
        <v>153</v>
      </c>
      <c r="D5" s="28" t="s">
        <v>518</v>
      </c>
      <c r="E5" s="29">
        <v>9</v>
      </c>
      <c r="F5" s="29">
        <v>0</v>
      </c>
      <c r="G5" s="29">
        <f>SUM(E5:F5)</f>
        <v>9</v>
      </c>
    </row>
    <row r="6" spans="1:7" x14ac:dyDescent="0.25">
      <c r="A6" s="25">
        <v>3</v>
      </c>
      <c r="B6" s="64" t="s">
        <v>515</v>
      </c>
      <c r="C6" s="65" t="s">
        <v>515</v>
      </c>
      <c r="D6" s="28" t="s">
        <v>519</v>
      </c>
      <c r="E6" s="29">
        <v>0</v>
      </c>
      <c r="F6" s="29">
        <v>8</v>
      </c>
      <c r="G6" s="29">
        <f>SUM(E6:F6)</f>
        <v>8</v>
      </c>
    </row>
    <row r="7" spans="1:7" x14ac:dyDescent="0.25">
      <c r="A7" s="25">
        <v>4</v>
      </c>
      <c r="B7" s="64" t="s">
        <v>516</v>
      </c>
      <c r="C7" s="65" t="s">
        <v>516</v>
      </c>
      <c r="D7" s="28" t="s">
        <v>520</v>
      </c>
      <c r="E7" s="29">
        <v>9</v>
      </c>
      <c r="F7" s="29">
        <v>0</v>
      </c>
      <c r="G7" s="29">
        <f>SUM(E7:F7)</f>
        <v>9</v>
      </c>
    </row>
    <row r="8" spans="1:7" x14ac:dyDescent="0.25">
      <c r="A8" s="66" t="s">
        <v>71</v>
      </c>
      <c r="B8" s="67"/>
      <c r="C8" s="67"/>
      <c r="D8" s="68"/>
      <c r="E8" s="27">
        <f>SUM(E4:E7)</f>
        <v>18</v>
      </c>
      <c r="F8" s="27">
        <f>SUM(F4:F7)</f>
        <v>16</v>
      </c>
      <c r="G8" s="27">
        <f>SUM(G4:G7)</f>
        <v>34</v>
      </c>
    </row>
  </sheetData>
  <mergeCells count="9">
    <mergeCell ref="E2:G2"/>
    <mergeCell ref="B4:C4"/>
    <mergeCell ref="B5:C5"/>
    <mergeCell ref="A8:D8"/>
    <mergeCell ref="B6:C6"/>
    <mergeCell ref="B7:C7"/>
    <mergeCell ref="A2:A3"/>
    <mergeCell ref="B2:C3"/>
    <mergeCell ref="D2:D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27AC0-E3F3-4948-B5A3-7CF8B5F8F97C}">
  <dimension ref="A2:G11"/>
  <sheetViews>
    <sheetView rightToLeft="1" workbookViewId="0">
      <selection activeCell="E13" sqref="E13"/>
    </sheetView>
  </sheetViews>
  <sheetFormatPr baseColWidth="10" defaultRowHeight="15" x14ac:dyDescent="0.25"/>
  <cols>
    <col min="1" max="1" width="6.28515625" customWidth="1"/>
    <col min="3" max="3" width="14.5703125" customWidth="1"/>
    <col min="4" max="4" width="27.5703125" customWidth="1"/>
  </cols>
  <sheetData>
    <row r="2" spans="1:7" ht="23.25" x14ac:dyDescent="0.25">
      <c r="A2" s="51" t="s">
        <v>80</v>
      </c>
      <c r="B2" s="69" t="s">
        <v>81</v>
      </c>
      <c r="C2" s="70"/>
      <c r="D2" s="51" t="s">
        <v>82</v>
      </c>
      <c r="E2" s="48" t="s">
        <v>76</v>
      </c>
      <c r="F2" s="49"/>
      <c r="G2" s="50"/>
    </row>
    <row r="3" spans="1:7" ht="18.75" x14ac:dyDescent="0.25">
      <c r="A3" s="52"/>
      <c r="B3" s="71"/>
      <c r="C3" s="72"/>
      <c r="D3" s="52"/>
      <c r="E3" s="16" t="s">
        <v>77</v>
      </c>
      <c r="F3" s="16" t="s">
        <v>78</v>
      </c>
      <c r="G3" s="16" t="s">
        <v>79</v>
      </c>
    </row>
    <row r="4" spans="1:7" x14ac:dyDescent="0.25">
      <c r="A4" s="25">
        <v>1</v>
      </c>
      <c r="B4" s="64" t="s">
        <v>153</v>
      </c>
      <c r="C4" s="65" t="s">
        <v>153</v>
      </c>
      <c r="D4" s="28" t="s">
        <v>526</v>
      </c>
      <c r="E4" s="29">
        <v>4</v>
      </c>
      <c r="F4" s="29">
        <v>4</v>
      </c>
      <c r="G4" s="29">
        <f t="shared" ref="G4:G10" si="0">SUM(E4:F4)</f>
        <v>8</v>
      </c>
    </row>
    <row r="5" spans="1:7" x14ac:dyDescent="0.25">
      <c r="A5" s="25">
        <v>2</v>
      </c>
      <c r="B5" s="64" t="s">
        <v>514</v>
      </c>
      <c r="C5" s="65" t="s">
        <v>514</v>
      </c>
      <c r="D5" s="28" t="s">
        <v>527</v>
      </c>
      <c r="E5" s="29">
        <v>4</v>
      </c>
      <c r="F5" s="29">
        <v>4</v>
      </c>
      <c r="G5" s="29">
        <f t="shared" si="0"/>
        <v>8</v>
      </c>
    </row>
    <row r="6" spans="1:7" x14ac:dyDescent="0.25">
      <c r="A6" s="25">
        <v>3</v>
      </c>
      <c r="B6" s="64" t="s">
        <v>521</v>
      </c>
      <c r="C6" s="65" t="s">
        <v>521</v>
      </c>
      <c r="D6" s="28" t="s">
        <v>528</v>
      </c>
      <c r="E6" s="29">
        <v>4</v>
      </c>
      <c r="F6" s="29">
        <v>4</v>
      </c>
      <c r="G6" s="29">
        <f t="shared" si="0"/>
        <v>8</v>
      </c>
    </row>
    <row r="7" spans="1:7" x14ac:dyDescent="0.25">
      <c r="A7" s="25">
        <v>4</v>
      </c>
      <c r="B7" s="64" t="s">
        <v>522</v>
      </c>
      <c r="C7" s="65" t="s">
        <v>522</v>
      </c>
      <c r="D7" s="28" t="s">
        <v>529</v>
      </c>
      <c r="E7" s="29">
        <v>5</v>
      </c>
      <c r="F7" s="29">
        <v>5</v>
      </c>
      <c r="G7" s="29">
        <f t="shared" si="0"/>
        <v>10</v>
      </c>
    </row>
    <row r="8" spans="1:7" x14ac:dyDescent="0.25">
      <c r="A8" s="25">
        <v>5</v>
      </c>
      <c r="B8" s="64" t="s">
        <v>523</v>
      </c>
      <c r="C8" s="65" t="s">
        <v>523</v>
      </c>
      <c r="D8" s="28" t="s">
        <v>530</v>
      </c>
      <c r="E8" s="29">
        <v>2</v>
      </c>
      <c r="F8" s="29">
        <v>2</v>
      </c>
      <c r="G8" s="29">
        <f t="shared" si="0"/>
        <v>4</v>
      </c>
    </row>
    <row r="9" spans="1:7" x14ac:dyDescent="0.25">
      <c r="A9" s="25">
        <v>6</v>
      </c>
      <c r="B9" s="64" t="s">
        <v>524</v>
      </c>
      <c r="C9" s="65" t="s">
        <v>524</v>
      </c>
      <c r="D9" s="28" t="s">
        <v>531</v>
      </c>
      <c r="E9" s="29">
        <v>3</v>
      </c>
      <c r="F9" s="29">
        <v>3</v>
      </c>
      <c r="G9" s="29">
        <f t="shared" si="0"/>
        <v>6</v>
      </c>
    </row>
    <row r="10" spans="1:7" x14ac:dyDescent="0.25">
      <c r="A10" s="25">
        <v>7</v>
      </c>
      <c r="B10" s="64" t="s">
        <v>525</v>
      </c>
      <c r="C10" s="65" t="s">
        <v>525</v>
      </c>
      <c r="D10" s="28" t="s">
        <v>532</v>
      </c>
      <c r="E10" s="29">
        <v>3</v>
      </c>
      <c r="F10" s="29">
        <v>3</v>
      </c>
      <c r="G10" s="29">
        <f t="shared" si="0"/>
        <v>6</v>
      </c>
    </row>
    <row r="11" spans="1:7" x14ac:dyDescent="0.25">
      <c r="A11" s="66" t="s">
        <v>71</v>
      </c>
      <c r="B11" s="67"/>
      <c r="C11" s="67"/>
      <c r="D11" s="68"/>
      <c r="E11" s="27">
        <f>SUM(E4:E10)</f>
        <v>25</v>
      </c>
      <c r="F11" s="27">
        <f>SUM(F4:F10)</f>
        <v>25</v>
      </c>
      <c r="G11" s="27">
        <f>SUM(G4:G10)</f>
        <v>50</v>
      </c>
    </row>
  </sheetData>
  <mergeCells count="12">
    <mergeCell ref="A11:D11"/>
    <mergeCell ref="B6:C6"/>
    <mergeCell ref="B7:C7"/>
    <mergeCell ref="B8:C8"/>
    <mergeCell ref="B9:C9"/>
    <mergeCell ref="B10:C10"/>
    <mergeCell ref="B5:C5"/>
    <mergeCell ref="A2:A3"/>
    <mergeCell ref="B2:C3"/>
    <mergeCell ref="D2:D3"/>
    <mergeCell ref="E2:G2"/>
    <mergeCell ref="B4:C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3EA08-4625-4DC5-A4E1-E469D2E61F78}">
  <dimension ref="A2:G14"/>
  <sheetViews>
    <sheetView rightToLeft="1" workbookViewId="0">
      <selection activeCell="E4" sqref="E4:G13"/>
    </sheetView>
  </sheetViews>
  <sheetFormatPr baseColWidth="10" defaultRowHeight="15" x14ac:dyDescent="0.25"/>
  <cols>
    <col min="1" max="1" width="6.28515625" customWidth="1"/>
    <col min="3" max="3" width="13.7109375" customWidth="1"/>
    <col min="4" max="4" width="24.140625" customWidth="1"/>
  </cols>
  <sheetData>
    <row r="2" spans="1:7" ht="23.25" x14ac:dyDescent="0.25">
      <c r="A2" s="51" t="s">
        <v>80</v>
      </c>
      <c r="B2" s="69" t="s">
        <v>81</v>
      </c>
      <c r="C2" s="70"/>
      <c r="D2" s="51" t="s">
        <v>82</v>
      </c>
      <c r="E2" s="48" t="s">
        <v>76</v>
      </c>
      <c r="F2" s="49"/>
      <c r="G2" s="50"/>
    </row>
    <row r="3" spans="1:7" ht="18.75" x14ac:dyDescent="0.25">
      <c r="A3" s="52"/>
      <c r="B3" s="71"/>
      <c r="C3" s="72"/>
      <c r="D3" s="52"/>
      <c r="E3" s="16" t="s">
        <v>77</v>
      </c>
      <c r="F3" s="16" t="s">
        <v>78</v>
      </c>
      <c r="G3" s="16" t="s">
        <v>79</v>
      </c>
    </row>
    <row r="4" spans="1:7" x14ac:dyDescent="0.25">
      <c r="A4" s="25">
        <v>1</v>
      </c>
      <c r="B4" s="64" t="s">
        <v>533</v>
      </c>
      <c r="C4" s="65" t="s">
        <v>533</v>
      </c>
      <c r="D4" s="28" t="s">
        <v>543</v>
      </c>
      <c r="E4" s="29">
        <v>8</v>
      </c>
      <c r="F4" s="29">
        <v>7</v>
      </c>
      <c r="G4" s="29">
        <f t="shared" ref="G4:G13" si="0">SUM(E4:F4)</f>
        <v>15</v>
      </c>
    </row>
    <row r="5" spans="1:7" x14ac:dyDescent="0.25">
      <c r="A5" s="25">
        <v>2</v>
      </c>
      <c r="B5" s="64" t="s">
        <v>534</v>
      </c>
      <c r="C5" s="65" t="s">
        <v>534</v>
      </c>
      <c r="D5" s="28" t="s">
        <v>543</v>
      </c>
      <c r="E5" s="29">
        <v>9</v>
      </c>
      <c r="F5" s="29">
        <v>8</v>
      </c>
      <c r="G5" s="29">
        <f t="shared" si="0"/>
        <v>17</v>
      </c>
    </row>
    <row r="6" spans="1:7" x14ac:dyDescent="0.25">
      <c r="A6" s="25">
        <v>3</v>
      </c>
      <c r="B6" s="64" t="s">
        <v>535</v>
      </c>
      <c r="C6" s="65" t="s">
        <v>535</v>
      </c>
      <c r="D6" s="28" t="s">
        <v>544</v>
      </c>
      <c r="E6" s="29">
        <v>4</v>
      </c>
      <c r="F6" s="29">
        <v>4</v>
      </c>
      <c r="G6" s="29">
        <f t="shared" si="0"/>
        <v>8</v>
      </c>
    </row>
    <row r="7" spans="1:7" x14ac:dyDescent="0.25">
      <c r="A7" s="25">
        <v>4</v>
      </c>
      <c r="B7" s="64" t="s">
        <v>536</v>
      </c>
      <c r="C7" s="65" t="s">
        <v>536</v>
      </c>
      <c r="D7" s="28" t="s">
        <v>545</v>
      </c>
      <c r="E7" s="29">
        <v>4</v>
      </c>
      <c r="F7" s="29">
        <v>3</v>
      </c>
      <c r="G7" s="29">
        <f t="shared" si="0"/>
        <v>7</v>
      </c>
    </row>
    <row r="8" spans="1:7" x14ac:dyDescent="0.25">
      <c r="A8" s="25">
        <v>5</v>
      </c>
      <c r="B8" s="64" t="s">
        <v>537</v>
      </c>
      <c r="C8" s="65" t="s">
        <v>537</v>
      </c>
      <c r="D8" s="28" t="s">
        <v>546</v>
      </c>
      <c r="E8" s="29">
        <v>4</v>
      </c>
      <c r="F8" s="29">
        <v>3</v>
      </c>
      <c r="G8" s="29">
        <f t="shared" si="0"/>
        <v>7</v>
      </c>
    </row>
    <row r="9" spans="1:7" x14ac:dyDescent="0.25">
      <c r="A9" s="25">
        <v>6</v>
      </c>
      <c r="B9" s="64" t="s">
        <v>538</v>
      </c>
      <c r="C9" s="65" t="s">
        <v>538</v>
      </c>
      <c r="D9" s="28" t="s">
        <v>547</v>
      </c>
      <c r="E9" s="29">
        <v>3</v>
      </c>
      <c r="F9" s="29">
        <v>2</v>
      </c>
      <c r="G9" s="29">
        <f t="shared" si="0"/>
        <v>5</v>
      </c>
    </row>
    <row r="10" spans="1:7" x14ac:dyDescent="0.25">
      <c r="A10" s="25">
        <v>7</v>
      </c>
      <c r="B10" s="64" t="s">
        <v>539</v>
      </c>
      <c r="C10" s="65" t="s">
        <v>539</v>
      </c>
      <c r="D10" s="28" t="s">
        <v>548</v>
      </c>
      <c r="E10" s="29">
        <v>5</v>
      </c>
      <c r="F10" s="29">
        <v>2</v>
      </c>
      <c r="G10" s="29">
        <f t="shared" si="0"/>
        <v>7</v>
      </c>
    </row>
    <row r="11" spans="1:7" x14ac:dyDescent="0.25">
      <c r="A11" s="25">
        <v>8</v>
      </c>
      <c r="B11" s="64" t="s">
        <v>540</v>
      </c>
      <c r="C11" s="65" t="s">
        <v>540</v>
      </c>
      <c r="D11" s="28" t="s">
        <v>549</v>
      </c>
      <c r="E11" s="29">
        <v>3</v>
      </c>
      <c r="F11" s="29">
        <v>3</v>
      </c>
      <c r="G11" s="29">
        <f t="shared" si="0"/>
        <v>6</v>
      </c>
    </row>
    <row r="12" spans="1:7" x14ac:dyDescent="0.25">
      <c r="A12" s="25">
        <v>9</v>
      </c>
      <c r="B12" s="64" t="s">
        <v>541</v>
      </c>
      <c r="C12" s="65" t="s">
        <v>541</v>
      </c>
      <c r="D12" s="28" t="s">
        <v>550</v>
      </c>
      <c r="E12" s="29">
        <v>3</v>
      </c>
      <c r="F12" s="29">
        <v>3</v>
      </c>
      <c r="G12" s="29">
        <f t="shared" si="0"/>
        <v>6</v>
      </c>
    </row>
    <row r="13" spans="1:7" x14ac:dyDescent="0.25">
      <c r="A13" s="25">
        <v>10</v>
      </c>
      <c r="B13" s="64" t="s">
        <v>542</v>
      </c>
      <c r="C13" s="65" t="s">
        <v>542</v>
      </c>
      <c r="D13" s="28" t="s">
        <v>551</v>
      </c>
      <c r="E13" s="29">
        <v>3</v>
      </c>
      <c r="F13" s="29">
        <v>3</v>
      </c>
      <c r="G13" s="29">
        <f t="shared" si="0"/>
        <v>6</v>
      </c>
    </row>
    <row r="14" spans="1:7" x14ac:dyDescent="0.25">
      <c r="A14" s="66" t="s">
        <v>71</v>
      </c>
      <c r="B14" s="67"/>
      <c r="C14" s="67"/>
      <c r="D14" s="68"/>
      <c r="E14" s="27">
        <f>SUM(E4:E13)</f>
        <v>46</v>
      </c>
      <c r="F14" s="27">
        <f>SUM(F4:F13)</f>
        <v>38</v>
      </c>
      <c r="G14" s="27">
        <f>SUM(G4:G13)</f>
        <v>84</v>
      </c>
    </row>
  </sheetData>
  <mergeCells count="15">
    <mergeCell ref="A14:D14"/>
    <mergeCell ref="B12:C12"/>
    <mergeCell ref="B13:C13"/>
    <mergeCell ref="B6:C6"/>
    <mergeCell ref="B7:C7"/>
    <mergeCell ref="B8:C8"/>
    <mergeCell ref="B9:C9"/>
    <mergeCell ref="B10:C10"/>
    <mergeCell ref="B11:C11"/>
    <mergeCell ref="B5:C5"/>
    <mergeCell ref="A2:A3"/>
    <mergeCell ref="B2:C3"/>
    <mergeCell ref="D2:D3"/>
    <mergeCell ref="E2:G2"/>
    <mergeCell ref="B4:C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641B1-0F1F-47F9-AC8E-E49DCDCC9405}">
  <dimension ref="A2:G17"/>
  <sheetViews>
    <sheetView rightToLeft="1" workbookViewId="0">
      <selection activeCell="E19" sqref="E19"/>
    </sheetView>
  </sheetViews>
  <sheetFormatPr baseColWidth="10" defaultRowHeight="15" x14ac:dyDescent="0.25"/>
  <cols>
    <col min="1" max="1" width="6.28515625" customWidth="1"/>
    <col min="3" max="3" width="13" customWidth="1"/>
    <col min="4" max="4" width="22" customWidth="1"/>
  </cols>
  <sheetData>
    <row r="2" spans="1:7" ht="23.25" x14ac:dyDescent="0.25">
      <c r="A2" s="51" t="s">
        <v>80</v>
      </c>
      <c r="B2" s="69" t="s">
        <v>81</v>
      </c>
      <c r="C2" s="70"/>
      <c r="D2" s="51" t="s">
        <v>82</v>
      </c>
      <c r="E2" s="48" t="s">
        <v>76</v>
      </c>
      <c r="F2" s="49"/>
      <c r="G2" s="50"/>
    </row>
    <row r="3" spans="1:7" ht="18.75" x14ac:dyDescent="0.25">
      <c r="A3" s="52"/>
      <c r="B3" s="71"/>
      <c r="C3" s="72"/>
      <c r="D3" s="52"/>
      <c r="E3" s="16" t="s">
        <v>77</v>
      </c>
      <c r="F3" s="16" t="s">
        <v>78</v>
      </c>
      <c r="G3" s="16" t="s">
        <v>79</v>
      </c>
    </row>
    <row r="4" spans="1:7" x14ac:dyDescent="0.25">
      <c r="A4" s="25">
        <v>1</v>
      </c>
      <c r="B4" s="64" t="s">
        <v>197</v>
      </c>
      <c r="C4" s="65" t="s">
        <v>197</v>
      </c>
      <c r="D4" s="28" t="s">
        <v>210</v>
      </c>
      <c r="E4" s="29">
        <v>5</v>
      </c>
      <c r="F4" s="29">
        <v>0</v>
      </c>
      <c r="G4" s="29">
        <f t="shared" ref="G4:G16" si="0">SUM(E4:F4)</f>
        <v>5</v>
      </c>
    </row>
    <row r="5" spans="1:7" x14ac:dyDescent="0.25">
      <c r="A5" s="25">
        <v>2</v>
      </c>
      <c r="B5" s="64" t="s">
        <v>198</v>
      </c>
      <c r="C5" s="65" t="s">
        <v>198</v>
      </c>
      <c r="D5" s="28" t="s">
        <v>211</v>
      </c>
      <c r="E5" s="29">
        <v>0</v>
      </c>
      <c r="F5" s="29">
        <v>4</v>
      </c>
      <c r="G5" s="29">
        <f t="shared" si="0"/>
        <v>4</v>
      </c>
    </row>
    <row r="6" spans="1:7" x14ac:dyDescent="0.25">
      <c r="A6" s="25">
        <v>3</v>
      </c>
      <c r="B6" s="64" t="s">
        <v>199</v>
      </c>
      <c r="C6" s="65" t="s">
        <v>199</v>
      </c>
      <c r="D6" s="28" t="s">
        <v>212</v>
      </c>
      <c r="E6" s="29">
        <v>5</v>
      </c>
      <c r="F6" s="29">
        <v>0</v>
      </c>
      <c r="G6" s="29">
        <f t="shared" si="0"/>
        <v>5</v>
      </c>
    </row>
    <row r="7" spans="1:7" x14ac:dyDescent="0.25">
      <c r="A7" s="25">
        <v>4</v>
      </c>
      <c r="B7" s="64" t="s">
        <v>200</v>
      </c>
      <c r="C7" s="65" t="s">
        <v>200</v>
      </c>
      <c r="D7" s="28" t="s">
        <v>213</v>
      </c>
      <c r="E7" s="29">
        <v>3</v>
      </c>
      <c r="F7" s="29">
        <v>1</v>
      </c>
      <c r="G7" s="29">
        <f t="shared" si="0"/>
        <v>4</v>
      </c>
    </row>
    <row r="8" spans="1:7" x14ac:dyDescent="0.25">
      <c r="A8" s="25">
        <v>5</v>
      </c>
      <c r="B8" s="64" t="s">
        <v>201</v>
      </c>
      <c r="C8" s="65" t="s">
        <v>201</v>
      </c>
      <c r="D8" s="28" t="s">
        <v>214</v>
      </c>
      <c r="E8" s="29">
        <v>4</v>
      </c>
      <c r="F8" s="29">
        <v>3</v>
      </c>
      <c r="G8" s="29">
        <f t="shared" si="0"/>
        <v>7</v>
      </c>
    </row>
    <row r="9" spans="1:7" x14ac:dyDescent="0.25">
      <c r="A9" s="25">
        <v>6</v>
      </c>
      <c r="B9" s="64" t="s">
        <v>202</v>
      </c>
      <c r="C9" s="65" t="s">
        <v>202</v>
      </c>
      <c r="D9" s="28" t="s">
        <v>215</v>
      </c>
      <c r="E9" s="29">
        <v>3</v>
      </c>
      <c r="F9" s="29">
        <v>2</v>
      </c>
      <c r="G9" s="29">
        <f t="shared" si="0"/>
        <v>5</v>
      </c>
    </row>
    <row r="10" spans="1:7" x14ac:dyDescent="0.25">
      <c r="A10" s="25">
        <v>7</v>
      </c>
      <c r="B10" s="64" t="s">
        <v>203</v>
      </c>
      <c r="C10" s="65" t="s">
        <v>203</v>
      </c>
      <c r="D10" s="28" t="s">
        <v>211</v>
      </c>
      <c r="E10" s="29">
        <v>2</v>
      </c>
      <c r="F10" s="29">
        <v>2</v>
      </c>
      <c r="G10" s="29">
        <f t="shared" si="0"/>
        <v>4</v>
      </c>
    </row>
    <row r="11" spans="1:7" x14ac:dyDescent="0.25">
      <c r="A11" s="25">
        <v>8</v>
      </c>
      <c r="B11" s="64" t="s">
        <v>204</v>
      </c>
      <c r="C11" s="65" t="s">
        <v>204</v>
      </c>
      <c r="D11" s="28" t="s">
        <v>216</v>
      </c>
      <c r="E11" s="29">
        <v>2</v>
      </c>
      <c r="F11" s="29">
        <v>1</v>
      </c>
      <c r="G11" s="29">
        <f t="shared" si="0"/>
        <v>3</v>
      </c>
    </row>
    <row r="12" spans="1:7" x14ac:dyDescent="0.25">
      <c r="A12" s="25">
        <v>9</v>
      </c>
      <c r="B12" s="64" t="s">
        <v>205</v>
      </c>
      <c r="C12" s="65" t="s">
        <v>205</v>
      </c>
      <c r="D12" s="28" t="s">
        <v>217</v>
      </c>
      <c r="E12" s="29">
        <v>4</v>
      </c>
      <c r="F12" s="29">
        <v>4</v>
      </c>
      <c r="G12" s="29">
        <f t="shared" si="0"/>
        <v>8</v>
      </c>
    </row>
    <row r="13" spans="1:7" x14ac:dyDescent="0.25">
      <c r="A13" s="25">
        <v>10</v>
      </c>
      <c r="B13" s="64" t="s">
        <v>206</v>
      </c>
      <c r="C13" s="65" t="s">
        <v>206</v>
      </c>
      <c r="D13" s="28" t="s">
        <v>218</v>
      </c>
      <c r="E13" s="29">
        <v>3</v>
      </c>
      <c r="F13" s="29">
        <v>3</v>
      </c>
      <c r="G13" s="29">
        <f t="shared" si="0"/>
        <v>6</v>
      </c>
    </row>
    <row r="14" spans="1:7" x14ac:dyDescent="0.25">
      <c r="A14" s="25">
        <v>11</v>
      </c>
      <c r="B14" s="64" t="s">
        <v>207</v>
      </c>
      <c r="C14" s="65" t="s">
        <v>207</v>
      </c>
      <c r="D14" s="28" t="s">
        <v>219</v>
      </c>
      <c r="E14" s="29">
        <v>0</v>
      </c>
      <c r="F14" s="29">
        <v>5</v>
      </c>
      <c r="G14" s="29">
        <f t="shared" si="0"/>
        <v>5</v>
      </c>
    </row>
    <row r="15" spans="1:7" x14ac:dyDescent="0.25">
      <c r="A15" s="25">
        <v>12</v>
      </c>
      <c r="B15" s="64" t="s">
        <v>208</v>
      </c>
      <c r="C15" s="65" t="s">
        <v>208</v>
      </c>
      <c r="D15" s="28" t="s">
        <v>220</v>
      </c>
      <c r="E15" s="29">
        <v>3</v>
      </c>
      <c r="F15" s="29">
        <v>3</v>
      </c>
      <c r="G15" s="29">
        <f t="shared" si="0"/>
        <v>6</v>
      </c>
    </row>
    <row r="16" spans="1:7" x14ac:dyDescent="0.25">
      <c r="A16" s="25">
        <v>13</v>
      </c>
      <c r="B16" s="64" t="s">
        <v>209</v>
      </c>
      <c r="C16" s="65" t="s">
        <v>209</v>
      </c>
      <c r="D16" s="28" t="s">
        <v>211</v>
      </c>
      <c r="E16" s="29">
        <v>3</v>
      </c>
      <c r="F16" s="29">
        <v>3</v>
      </c>
      <c r="G16" s="29">
        <f t="shared" si="0"/>
        <v>6</v>
      </c>
    </row>
    <row r="17" spans="1:7" x14ac:dyDescent="0.25">
      <c r="A17" s="66" t="s">
        <v>71</v>
      </c>
      <c r="B17" s="67"/>
      <c r="C17" s="67"/>
      <c r="D17" s="68"/>
      <c r="E17" s="27">
        <f>SUM(E4:E16)</f>
        <v>37</v>
      </c>
      <c r="F17" s="27">
        <f>SUM(F4:F16)</f>
        <v>31</v>
      </c>
      <c r="G17" s="27">
        <f>SUM(G4:G16)</f>
        <v>68</v>
      </c>
    </row>
  </sheetData>
  <mergeCells count="18">
    <mergeCell ref="A17:D17"/>
    <mergeCell ref="B12:C12"/>
    <mergeCell ref="B13:C13"/>
    <mergeCell ref="B14:C14"/>
    <mergeCell ref="B15:C15"/>
    <mergeCell ref="B16:C16"/>
    <mergeCell ref="B11:C11"/>
    <mergeCell ref="A2:A3"/>
    <mergeCell ref="B2:C3"/>
    <mergeCell ref="D2:D3"/>
    <mergeCell ref="E2:G2"/>
    <mergeCell ref="B4:C4"/>
    <mergeCell ref="B5:C5"/>
    <mergeCell ref="B6:C6"/>
    <mergeCell ref="B7:C7"/>
    <mergeCell ref="B8:C8"/>
    <mergeCell ref="B9:C9"/>
    <mergeCell ref="B10:C10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G13"/>
  <sheetViews>
    <sheetView rightToLeft="1" workbookViewId="0">
      <selection activeCell="B4" sqref="B4:C12"/>
    </sheetView>
  </sheetViews>
  <sheetFormatPr baseColWidth="10" defaultRowHeight="15" x14ac:dyDescent="0.25"/>
  <cols>
    <col min="1" max="1" width="6" customWidth="1"/>
    <col min="4" max="4" width="23" customWidth="1"/>
  </cols>
  <sheetData>
    <row r="2" spans="1:7" ht="23.25" x14ac:dyDescent="0.25">
      <c r="A2" s="51" t="s">
        <v>80</v>
      </c>
      <c r="B2" s="69" t="s">
        <v>81</v>
      </c>
      <c r="C2" s="70"/>
      <c r="D2" s="51" t="s">
        <v>82</v>
      </c>
      <c r="E2" s="48" t="s">
        <v>76</v>
      </c>
      <c r="F2" s="49"/>
      <c r="G2" s="50"/>
    </row>
    <row r="3" spans="1:7" ht="18.75" x14ac:dyDescent="0.25">
      <c r="A3" s="52"/>
      <c r="B3" s="71"/>
      <c r="C3" s="72"/>
      <c r="D3" s="52"/>
      <c r="E3" s="16" t="s">
        <v>77</v>
      </c>
      <c r="F3" s="16" t="s">
        <v>78</v>
      </c>
      <c r="G3" s="16" t="s">
        <v>79</v>
      </c>
    </row>
    <row r="4" spans="1:7" x14ac:dyDescent="0.25">
      <c r="A4" s="25">
        <v>1</v>
      </c>
      <c r="B4" s="64" t="s">
        <v>221</v>
      </c>
      <c r="C4" s="65" t="s">
        <v>221</v>
      </c>
      <c r="D4" s="25" t="s">
        <v>230</v>
      </c>
      <c r="E4" s="27">
        <v>8</v>
      </c>
      <c r="F4" s="27">
        <v>0</v>
      </c>
      <c r="G4" s="27">
        <f t="shared" ref="G4:G13" si="0">SUM(E4:F4)</f>
        <v>8</v>
      </c>
    </row>
    <row r="5" spans="1:7" x14ac:dyDescent="0.25">
      <c r="A5" s="25">
        <v>2</v>
      </c>
      <c r="B5" s="64" t="s">
        <v>222</v>
      </c>
      <c r="C5" s="65" t="s">
        <v>222</v>
      </c>
      <c r="D5" s="25" t="s">
        <v>231</v>
      </c>
      <c r="E5" s="27">
        <v>4</v>
      </c>
      <c r="F5" s="27">
        <v>3</v>
      </c>
      <c r="G5" s="27">
        <f t="shared" si="0"/>
        <v>7</v>
      </c>
    </row>
    <row r="6" spans="1:7" x14ac:dyDescent="0.25">
      <c r="A6" s="25">
        <v>3</v>
      </c>
      <c r="B6" s="64" t="s">
        <v>223</v>
      </c>
      <c r="C6" s="65" t="s">
        <v>223</v>
      </c>
      <c r="D6" s="25" t="s">
        <v>232</v>
      </c>
      <c r="E6" s="27">
        <v>3</v>
      </c>
      <c r="F6" s="27">
        <v>3</v>
      </c>
      <c r="G6" s="27">
        <f t="shared" si="0"/>
        <v>6</v>
      </c>
    </row>
    <row r="7" spans="1:7" x14ac:dyDescent="0.25">
      <c r="A7" s="25">
        <v>4</v>
      </c>
      <c r="B7" s="64" t="s">
        <v>224</v>
      </c>
      <c r="C7" s="65" t="s">
        <v>224</v>
      </c>
      <c r="D7" s="25" t="s">
        <v>233</v>
      </c>
      <c r="E7" s="27">
        <v>3</v>
      </c>
      <c r="F7" s="27">
        <v>3</v>
      </c>
      <c r="G7" s="27">
        <f t="shared" si="0"/>
        <v>6</v>
      </c>
    </row>
    <row r="8" spans="1:7" x14ac:dyDescent="0.25">
      <c r="A8" s="25">
        <v>5</v>
      </c>
      <c r="B8" s="64" t="s">
        <v>225</v>
      </c>
      <c r="C8" s="65" t="s">
        <v>225</v>
      </c>
      <c r="D8" s="25" t="s">
        <v>230</v>
      </c>
      <c r="E8" s="27">
        <v>0</v>
      </c>
      <c r="F8" s="27">
        <v>7</v>
      </c>
      <c r="G8" s="27">
        <f t="shared" si="0"/>
        <v>7</v>
      </c>
    </row>
    <row r="9" spans="1:7" x14ac:dyDescent="0.25">
      <c r="A9" s="25">
        <v>6</v>
      </c>
      <c r="B9" s="64" t="s">
        <v>226</v>
      </c>
      <c r="C9" s="65" t="s">
        <v>226</v>
      </c>
      <c r="D9" s="25" t="s">
        <v>234</v>
      </c>
      <c r="E9" s="27">
        <v>4</v>
      </c>
      <c r="F9" s="27">
        <v>4</v>
      </c>
      <c r="G9" s="27">
        <f t="shared" si="0"/>
        <v>8</v>
      </c>
    </row>
    <row r="10" spans="1:7" x14ac:dyDescent="0.25">
      <c r="A10" s="25">
        <v>7</v>
      </c>
      <c r="B10" s="64" t="s">
        <v>227</v>
      </c>
      <c r="C10" s="65" t="s">
        <v>227</v>
      </c>
      <c r="D10" s="25" t="s">
        <v>235</v>
      </c>
      <c r="E10" s="27">
        <v>4</v>
      </c>
      <c r="F10" s="27">
        <v>5</v>
      </c>
      <c r="G10" s="27">
        <f t="shared" si="0"/>
        <v>9</v>
      </c>
    </row>
    <row r="11" spans="1:7" x14ac:dyDescent="0.25">
      <c r="A11" s="25">
        <v>8</v>
      </c>
      <c r="B11" s="64" t="s">
        <v>228</v>
      </c>
      <c r="C11" s="65" t="s">
        <v>228</v>
      </c>
      <c r="D11" s="25" t="s">
        <v>236</v>
      </c>
      <c r="E11" s="27">
        <v>5</v>
      </c>
      <c r="F11" s="27">
        <v>4</v>
      </c>
      <c r="G11" s="27">
        <f t="shared" si="0"/>
        <v>9</v>
      </c>
    </row>
    <row r="12" spans="1:7" x14ac:dyDescent="0.25">
      <c r="A12" s="25">
        <v>9</v>
      </c>
      <c r="B12" s="64" t="s">
        <v>229</v>
      </c>
      <c r="C12" s="65" t="s">
        <v>229</v>
      </c>
      <c r="D12" s="25" t="s">
        <v>237</v>
      </c>
      <c r="E12" s="27">
        <v>2</v>
      </c>
      <c r="F12" s="27">
        <v>2</v>
      </c>
      <c r="G12" s="27">
        <f t="shared" si="0"/>
        <v>4</v>
      </c>
    </row>
    <row r="13" spans="1:7" x14ac:dyDescent="0.25">
      <c r="A13" s="66" t="s">
        <v>79</v>
      </c>
      <c r="B13" s="67"/>
      <c r="C13" s="67"/>
      <c r="D13" s="68"/>
      <c r="E13" s="27">
        <f>SUM(E4:E12)</f>
        <v>33</v>
      </c>
      <c r="F13" s="27">
        <f>SUM(F4:F12)</f>
        <v>31</v>
      </c>
      <c r="G13" s="27">
        <f t="shared" si="0"/>
        <v>64</v>
      </c>
    </row>
  </sheetData>
  <mergeCells count="14">
    <mergeCell ref="A13:D13"/>
    <mergeCell ref="B10:C10"/>
    <mergeCell ref="B11:C11"/>
    <mergeCell ref="B12:C12"/>
    <mergeCell ref="B5:C5"/>
    <mergeCell ref="B6:C6"/>
    <mergeCell ref="B7:C7"/>
    <mergeCell ref="B8:C8"/>
    <mergeCell ref="B9:C9"/>
    <mergeCell ref="A2:A3"/>
    <mergeCell ref="B2:C3"/>
    <mergeCell ref="D2:D3"/>
    <mergeCell ref="E2:G2"/>
    <mergeCell ref="B4:C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5A6DE-C2FE-4D13-87DB-A61331F3A0AE}">
  <dimension ref="A2:G11"/>
  <sheetViews>
    <sheetView rightToLeft="1" workbookViewId="0">
      <selection activeCell="D17" sqref="D17"/>
    </sheetView>
  </sheetViews>
  <sheetFormatPr baseColWidth="10" defaultRowHeight="15" x14ac:dyDescent="0.25"/>
  <cols>
    <col min="1" max="1" width="6" customWidth="1"/>
    <col min="4" max="4" width="23" customWidth="1"/>
  </cols>
  <sheetData>
    <row r="2" spans="1:7" ht="23.25" x14ac:dyDescent="0.25">
      <c r="A2" s="51" t="s">
        <v>80</v>
      </c>
      <c r="B2" s="69" t="s">
        <v>81</v>
      </c>
      <c r="C2" s="70"/>
      <c r="D2" s="51" t="s">
        <v>82</v>
      </c>
      <c r="E2" s="48" t="s">
        <v>76</v>
      </c>
      <c r="F2" s="49"/>
      <c r="G2" s="50"/>
    </row>
    <row r="3" spans="1:7" ht="18.75" x14ac:dyDescent="0.25">
      <c r="A3" s="52"/>
      <c r="B3" s="71"/>
      <c r="C3" s="72"/>
      <c r="D3" s="52"/>
      <c r="E3" s="16" t="s">
        <v>77</v>
      </c>
      <c r="F3" s="16" t="s">
        <v>78</v>
      </c>
      <c r="G3" s="16" t="s">
        <v>79</v>
      </c>
    </row>
    <row r="4" spans="1:7" x14ac:dyDescent="0.25">
      <c r="A4" s="25">
        <v>1</v>
      </c>
      <c r="B4" s="64" t="s">
        <v>552</v>
      </c>
      <c r="C4" s="65" t="s">
        <v>552</v>
      </c>
      <c r="D4" s="25" t="s">
        <v>559</v>
      </c>
      <c r="E4" s="27">
        <v>4</v>
      </c>
      <c r="F4" s="27">
        <v>4</v>
      </c>
      <c r="G4" s="27">
        <f t="shared" ref="G4:G11" si="0">SUM(E4:F4)</f>
        <v>8</v>
      </c>
    </row>
    <row r="5" spans="1:7" x14ac:dyDescent="0.25">
      <c r="A5" s="25">
        <v>2</v>
      </c>
      <c r="B5" s="64" t="s">
        <v>553</v>
      </c>
      <c r="C5" s="65" t="s">
        <v>553</v>
      </c>
      <c r="D5" s="25" t="s">
        <v>560</v>
      </c>
      <c r="E5" s="27">
        <v>5</v>
      </c>
      <c r="F5" s="27">
        <v>3</v>
      </c>
      <c r="G5" s="27">
        <f t="shared" si="0"/>
        <v>8</v>
      </c>
    </row>
    <row r="6" spans="1:7" x14ac:dyDescent="0.25">
      <c r="A6" s="25">
        <v>3</v>
      </c>
      <c r="B6" s="64" t="s">
        <v>554</v>
      </c>
      <c r="C6" s="65" t="s">
        <v>554</v>
      </c>
      <c r="D6" s="25" t="s">
        <v>561</v>
      </c>
      <c r="E6" s="27">
        <v>3</v>
      </c>
      <c r="F6" s="27">
        <v>2</v>
      </c>
      <c r="G6" s="27">
        <f t="shared" si="0"/>
        <v>5</v>
      </c>
    </row>
    <row r="7" spans="1:7" x14ac:dyDescent="0.25">
      <c r="A7" s="25">
        <v>4</v>
      </c>
      <c r="B7" s="64" t="s">
        <v>555</v>
      </c>
      <c r="C7" s="65" t="s">
        <v>555</v>
      </c>
      <c r="D7" s="25" t="s">
        <v>562</v>
      </c>
      <c r="E7" s="27">
        <v>3</v>
      </c>
      <c r="F7" s="27">
        <v>3</v>
      </c>
      <c r="G7" s="27">
        <f t="shared" si="0"/>
        <v>6</v>
      </c>
    </row>
    <row r="8" spans="1:7" x14ac:dyDescent="0.25">
      <c r="A8" s="25">
        <v>5</v>
      </c>
      <c r="B8" s="64" t="s">
        <v>556</v>
      </c>
      <c r="C8" s="65" t="s">
        <v>556</v>
      </c>
      <c r="D8" s="25" t="s">
        <v>563</v>
      </c>
      <c r="E8" s="27">
        <v>2</v>
      </c>
      <c r="F8" s="27">
        <v>2</v>
      </c>
      <c r="G8" s="27">
        <f t="shared" si="0"/>
        <v>4</v>
      </c>
    </row>
    <row r="9" spans="1:7" x14ac:dyDescent="0.25">
      <c r="A9" s="25">
        <v>6</v>
      </c>
      <c r="B9" s="64" t="s">
        <v>557</v>
      </c>
      <c r="C9" s="65" t="s">
        <v>557</v>
      </c>
      <c r="D9" s="25" t="s">
        <v>564</v>
      </c>
      <c r="E9" s="27">
        <v>4</v>
      </c>
      <c r="F9" s="27">
        <v>2</v>
      </c>
      <c r="G9" s="27">
        <f t="shared" si="0"/>
        <v>6</v>
      </c>
    </row>
    <row r="10" spans="1:7" x14ac:dyDescent="0.25">
      <c r="A10" s="25">
        <v>7</v>
      </c>
      <c r="B10" s="64" t="s">
        <v>558</v>
      </c>
      <c r="C10" s="65" t="s">
        <v>558</v>
      </c>
      <c r="D10" s="25" t="s">
        <v>564</v>
      </c>
      <c r="E10" s="27">
        <v>4</v>
      </c>
      <c r="F10" s="27">
        <v>3</v>
      </c>
      <c r="G10" s="27">
        <f t="shared" si="0"/>
        <v>7</v>
      </c>
    </row>
    <row r="11" spans="1:7" x14ac:dyDescent="0.25">
      <c r="A11" s="66" t="s">
        <v>79</v>
      </c>
      <c r="B11" s="67"/>
      <c r="C11" s="67"/>
      <c r="D11" s="68"/>
      <c r="E11" s="27">
        <f>SUM(E4:E10)</f>
        <v>25</v>
      </c>
      <c r="F11" s="27">
        <f>SUM(F4:F10)</f>
        <v>19</v>
      </c>
      <c r="G11" s="27">
        <f t="shared" si="0"/>
        <v>44</v>
      </c>
    </row>
  </sheetData>
  <mergeCells count="12">
    <mergeCell ref="A11:D11"/>
    <mergeCell ref="B6:C6"/>
    <mergeCell ref="B7:C7"/>
    <mergeCell ref="B8:C8"/>
    <mergeCell ref="B9:C9"/>
    <mergeCell ref="B10:C10"/>
    <mergeCell ref="B5:C5"/>
    <mergeCell ref="A2:A3"/>
    <mergeCell ref="B2:C3"/>
    <mergeCell ref="D2:D3"/>
    <mergeCell ref="E2:G2"/>
    <mergeCell ref="B4:C4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0C7F9-A066-477C-8840-82EA4ABCED06}">
  <dimension ref="A2:G25"/>
  <sheetViews>
    <sheetView rightToLeft="1" workbookViewId="0">
      <selection activeCell="D27" sqref="D27"/>
    </sheetView>
  </sheetViews>
  <sheetFormatPr baseColWidth="10" defaultRowHeight="15" x14ac:dyDescent="0.25"/>
  <cols>
    <col min="1" max="1" width="6.28515625" customWidth="1"/>
    <col min="4" max="4" width="22" customWidth="1"/>
  </cols>
  <sheetData>
    <row r="2" spans="1:7" ht="23.25" x14ac:dyDescent="0.25">
      <c r="A2" s="51" t="s">
        <v>80</v>
      </c>
      <c r="B2" s="69" t="s">
        <v>81</v>
      </c>
      <c r="C2" s="70"/>
      <c r="D2" s="51" t="s">
        <v>82</v>
      </c>
      <c r="E2" s="48" t="s">
        <v>76</v>
      </c>
      <c r="F2" s="49"/>
      <c r="G2" s="50"/>
    </row>
    <row r="3" spans="1:7" ht="18.75" x14ac:dyDescent="0.25">
      <c r="A3" s="52"/>
      <c r="B3" s="71"/>
      <c r="C3" s="72"/>
      <c r="D3" s="52"/>
      <c r="E3" s="16" t="s">
        <v>77</v>
      </c>
      <c r="F3" s="16" t="s">
        <v>78</v>
      </c>
      <c r="G3" s="16" t="s">
        <v>79</v>
      </c>
    </row>
    <row r="4" spans="1:7" x14ac:dyDescent="0.25">
      <c r="A4" s="25">
        <v>1</v>
      </c>
      <c r="B4" s="64" t="s">
        <v>565</v>
      </c>
      <c r="C4" s="65" t="s">
        <v>565</v>
      </c>
      <c r="D4" s="28" t="s">
        <v>586</v>
      </c>
      <c r="E4" s="29">
        <v>10</v>
      </c>
      <c r="F4" s="29"/>
      <c r="G4" s="29">
        <f t="shared" ref="G4:G25" si="0">SUM(E4:F4)</f>
        <v>10</v>
      </c>
    </row>
    <row r="5" spans="1:7" x14ac:dyDescent="0.25">
      <c r="A5" s="25">
        <v>2</v>
      </c>
      <c r="B5" s="64" t="s">
        <v>566</v>
      </c>
      <c r="C5" s="65" t="s">
        <v>566</v>
      </c>
      <c r="D5" s="28" t="s">
        <v>587</v>
      </c>
      <c r="E5" s="29"/>
      <c r="F5" s="29">
        <v>12</v>
      </c>
      <c r="G5" s="29">
        <f t="shared" si="0"/>
        <v>12</v>
      </c>
    </row>
    <row r="6" spans="1:7" x14ac:dyDescent="0.25">
      <c r="A6" s="25">
        <v>3</v>
      </c>
      <c r="B6" s="64" t="s">
        <v>567</v>
      </c>
      <c r="C6" s="65" t="s">
        <v>567</v>
      </c>
      <c r="D6" s="28" t="s">
        <v>588</v>
      </c>
      <c r="E6" s="29">
        <v>14</v>
      </c>
      <c r="F6" s="29"/>
      <c r="G6" s="29">
        <f t="shared" si="0"/>
        <v>14</v>
      </c>
    </row>
    <row r="7" spans="1:7" x14ac:dyDescent="0.25">
      <c r="A7" s="25">
        <v>4</v>
      </c>
      <c r="B7" s="64" t="s">
        <v>568</v>
      </c>
      <c r="C7" s="65" t="s">
        <v>568</v>
      </c>
      <c r="D7" s="28" t="s">
        <v>589</v>
      </c>
      <c r="E7" s="29"/>
      <c r="F7" s="29">
        <v>13</v>
      </c>
      <c r="G7" s="29">
        <f t="shared" si="0"/>
        <v>13</v>
      </c>
    </row>
    <row r="8" spans="1:7" x14ac:dyDescent="0.25">
      <c r="A8" s="25">
        <v>5</v>
      </c>
      <c r="B8" s="64" t="s">
        <v>569</v>
      </c>
      <c r="C8" s="65" t="s">
        <v>569</v>
      </c>
      <c r="D8" s="28" t="s">
        <v>590</v>
      </c>
      <c r="E8" s="29">
        <v>8</v>
      </c>
      <c r="F8" s="29"/>
      <c r="G8" s="29">
        <f t="shared" si="0"/>
        <v>8</v>
      </c>
    </row>
    <row r="9" spans="1:7" x14ac:dyDescent="0.25">
      <c r="A9" s="25">
        <v>6</v>
      </c>
      <c r="B9" s="64" t="s">
        <v>570</v>
      </c>
      <c r="C9" s="65" t="s">
        <v>570</v>
      </c>
      <c r="D9" s="28" t="s">
        <v>591</v>
      </c>
      <c r="E9" s="29">
        <v>7</v>
      </c>
      <c r="F9" s="29">
        <v>6</v>
      </c>
      <c r="G9" s="29">
        <f t="shared" si="0"/>
        <v>13</v>
      </c>
    </row>
    <row r="10" spans="1:7" x14ac:dyDescent="0.25">
      <c r="A10" s="25">
        <v>7</v>
      </c>
      <c r="B10" s="64" t="s">
        <v>571</v>
      </c>
      <c r="C10" s="65" t="s">
        <v>571</v>
      </c>
      <c r="D10" s="28" t="s">
        <v>592</v>
      </c>
      <c r="E10" s="29">
        <v>20</v>
      </c>
      <c r="F10" s="29"/>
      <c r="G10" s="29">
        <f t="shared" si="0"/>
        <v>20</v>
      </c>
    </row>
    <row r="11" spans="1:7" x14ac:dyDescent="0.25">
      <c r="A11" s="25">
        <v>8</v>
      </c>
      <c r="B11" s="64" t="s">
        <v>572</v>
      </c>
      <c r="C11" s="65" t="s">
        <v>572</v>
      </c>
      <c r="D11" s="28" t="s">
        <v>593</v>
      </c>
      <c r="E11" s="29"/>
      <c r="F11" s="29">
        <v>17</v>
      </c>
      <c r="G11" s="29">
        <f t="shared" si="0"/>
        <v>17</v>
      </c>
    </row>
    <row r="12" spans="1:7" x14ac:dyDescent="0.25">
      <c r="A12" s="25">
        <v>9</v>
      </c>
      <c r="B12" s="64" t="s">
        <v>573</v>
      </c>
      <c r="C12" s="65" t="s">
        <v>573</v>
      </c>
      <c r="D12" s="28" t="s">
        <v>594</v>
      </c>
      <c r="E12" s="29">
        <v>13</v>
      </c>
      <c r="F12" s="29"/>
      <c r="G12" s="29">
        <f t="shared" si="0"/>
        <v>13</v>
      </c>
    </row>
    <row r="13" spans="1:7" x14ac:dyDescent="0.25">
      <c r="A13" s="25">
        <v>10</v>
      </c>
      <c r="B13" s="64" t="s">
        <v>574</v>
      </c>
      <c r="C13" s="65" t="s">
        <v>574</v>
      </c>
      <c r="D13" s="28" t="s">
        <v>595</v>
      </c>
      <c r="E13" s="29"/>
      <c r="F13" s="29">
        <v>9</v>
      </c>
      <c r="G13" s="29">
        <f t="shared" si="0"/>
        <v>9</v>
      </c>
    </row>
    <row r="14" spans="1:7" x14ac:dyDescent="0.25">
      <c r="A14" s="25">
        <v>11</v>
      </c>
      <c r="B14" s="64" t="s">
        <v>575</v>
      </c>
      <c r="C14" s="65" t="s">
        <v>575</v>
      </c>
      <c r="D14" s="28" t="s">
        <v>596</v>
      </c>
      <c r="E14" s="29">
        <v>12</v>
      </c>
      <c r="F14" s="29"/>
      <c r="G14" s="29">
        <f t="shared" si="0"/>
        <v>12</v>
      </c>
    </row>
    <row r="15" spans="1:7" x14ac:dyDescent="0.25">
      <c r="A15" s="25">
        <v>12</v>
      </c>
      <c r="B15" s="64" t="s">
        <v>576</v>
      </c>
      <c r="C15" s="65" t="s">
        <v>576</v>
      </c>
      <c r="D15" s="28" t="s">
        <v>597</v>
      </c>
      <c r="E15" s="29"/>
      <c r="F15" s="29">
        <v>10</v>
      </c>
      <c r="G15" s="29">
        <f t="shared" si="0"/>
        <v>10</v>
      </c>
    </row>
    <row r="16" spans="1:7" x14ac:dyDescent="0.25">
      <c r="A16" s="25">
        <v>13</v>
      </c>
      <c r="B16" s="64" t="s">
        <v>577</v>
      </c>
      <c r="C16" s="65" t="s">
        <v>577</v>
      </c>
      <c r="D16" s="28" t="s">
        <v>598</v>
      </c>
      <c r="E16" s="29">
        <v>4</v>
      </c>
      <c r="F16" s="29"/>
      <c r="G16" s="29">
        <f t="shared" si="0"/>
        <v>4</v>
      </c>
    </row>
    <row r="17" spans="1:7" x14ac:dyDescent="0.25">
      <c r="A17" s="25">
        <v>14</v>
      </c>
      <c r="B17" s="64" t="s">
        <v>578</v>
      </c>
      <c r="C17" s="65" t="s">
        <v>578</v>
      </c>
      <c r="D17" s="28" t="s">
        <v>599</v>
      </c>
      <c r="E17" s="29"/>
      <c r="F17" s="29">
        <v>3</v>
      </c>
      <c r="G17" s="29">
        <f t="shared" si="0"/>
        <v>3</v>
      </c>
    </row>
    <row r="18" spans="1:7" x14ac:dyDescent="0.25">
      <c r="A18" s="25">
        <v>15</v>
      </c>
      <c r="B18" s="64" t="s">
        <v>579</v>
      </c>
      <c r="C18" s="65" t="s">
        <v>579</v>
      </c>
      <c r="D18" s="28" t="s">
        <v>600</v>
      </c>
      <c r="E18" s="29">
        <v>4</v>
      </c>
      <c r="F18" s="29"/>
      <c r="G18" s="29">
        <f t="shared" si="0"/>
        <v>4</v>
      </c>
    </row>
    <row r="19" spans="1:7" x14ac:dyDescent="0.25">
      <c r="A19" s="25">
        <v>16</v>
      </c>
      <c r="B19" s="64" t="s">
        <v>580</v>
      </c>
      <c r="C19" s="65" t="s">
        <v>580</v>
      </c>
      <c r="D19" s="28" t="s">
        <v>600</v>
      </c>
      <c r="E19" s="29"/>
      <c r="F19" s="29">
        <v>4</v>
      </c>
      <c r="G19" s="29">
        <f t="shared" si="0"/>
        <v>4</v>
      </c>
    </row>
    <row r="20" spans="1:7" x14ac:dyDescent="0.25">
      <c r="A20" s="25">
        <v>17</v>
      </c>
      <c r="B20" s="64" t="s">
        <v>581</v>
      </c>
      <c r="C20" s="65" t="s">
        <v>581</v>
      </c>
      <c r="D20" s="28" t="s">
        <v>601</v>
      </c>
      <c r="E20" s="29">
        <v>10</v>
      </c>
      <c r="F20" s="29"/>
      <c r="G20" s="29">
        <f t="shared" si="0"/>
        <v>10</v>
      </c>
    </row>
    <row r="21" spans="1:7" x14ac:dyDescent="0.25">
      <c r="A21" s="25">
        <v>18</v>
      </c>
      <c r="B21" s="64" t="s">
        <v>582</v>
      </c>
      <c r="C21" s="65" t="s">
        <v>582</v>
      </c>
      <c r="D21" s="28" t="s">
        <v>602</v>
      </c>
      <c r="E21" s="29"/>
      <c r="F21" s="29">
        <v>9</v>
      </c>
      <c r="G21" s="29">
        <f t="shared" si="0"/>
        <v>9</v>
      </c>
    </row>
    <row r="22" spans="1:7" x14ac:dyDescent="0.25">
      <c r="A22" s="25">
        <v>19</v>
      </c>
      <c r="B22" s="64" t="s">
        <v>583</v>
      </c>
      <c r="C22" s="65" t="s">
        <v>583</v>
      </c>
      <c r="D22" s="28" t="s">
        <v>603</v>
      </c>
      <c r="E22" s="29">
        <v>9</v>
      </c>
      <c r="F22" s="29"/>
      <c r="G22" s="29">
        <f t="shared" si="0"/>
        <v>9</v>
      </c>
    </row>
    <row r="23" spans="1:7" x14ac:dyDescent="0.25">
      <c r="A23" s="25">
        <v>20</v>
      </c>
      <c r="B23" s="64" t="s">
        <v>584</v>
      </c>
      <c r="C23" s="65" t="s">
        <v>584</v>
      </c>
      <c r="D23" s="28" t="s">
        <v>604</v>
      </c>
      <c r="E23" s="29"/>
      <c r="F23" s="29">
        <v>3</v>
      </c>
      <c r="G23" s="29">
        <f t="shared" si="0"/>
        <v>3</v>
      </c>
    </row>
    <row r="24" spans="1:7" x14ac:dyDescent="0.25">
      <c r="A24" s="25">
        <v>21</v>
      </c>
      <c r="B24" s="64" t="s">
        <v>585</v>
      </c>
      <c r="C24" s="65" t="s">
        <v>585</v>
      </c>
      <c r="D24" s="28" t="s">
        <v>605</v>
      </c>
      <c r="E24" s="29"/>
      <c r="F24" s="29">
        <v>7</v>
      </c>
      <c r="G24" s="29">
        <f t="shared" si="0"/>
        <v>7</v>
      </c>
    </row>
    <row r="25" spans="1:7" x14ac:dyDescent="0.25">
      <c r="A25" s="66" t="s">
        <v>71</v>
      </c>
      <c r="B25" s="67"/>
      <c r="C25" s="67"/>
      <c r="D25" s="68"/>
      <c r="E25" s="27">
        <f>SUM(E4:E24)</f>
        <v>111</v>
      </c>
      <c r="F25" s="27">
        <f>SUM(F4:F24)</f>
        <v>93</v>
      </c>
      <c r="G25" s="27">
        <f t="shared" si="0"/>
        <v>204</v>
      </c>
    </row>
  </sheetData>
  <mergeCells count="26">
    <mergeCell ref="B24:C24"/>
    <mergeCell ref="A25:D25"/>
    <mergeCell ref="B17:C17"/>
    <mergeCell ref="B18:C18"/>
    <mergeCell ref="B19:C19"/>
    <mergeCell ref="B20:C20"/>
    <mergeCell ref="B21:C21"/>
    <mergeCell ref="B22:C22"/>
    <mergeCell ref="B23:C23"/>
    <mergeCell ref="B12:C12"/>
    <mergeCell ref="B13:C13"/>
    <mergeCell ref="B14:C14"/>
    <mergeCell ref="B15:C15"/>
    <mergeCell ref="B16:C16"/>
    <mergeCell ref="B11:C11"/>
    <mergeCell ref="A2:A3"/>
    <mergeCell ref="B2:C3"/>
    <mergeCell ref="D2:D3"/>
    <mergeCell ref="E2:G2"/>
    <mergeCell ref="B4:C4"/>
    <mergeCell ref="B5:C5"/>
    <mergeCell ref="B6:C6"/>
    <mergeCell ref="B7:C7"/>
    <mergeCell ref="B8:C8"/>
    <mergeCell ref="B9:C9"/>
    <mergeCell ref="B10:C10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293B4-19C1-4E9D-9426-796C0D9AD29F}">
  <dimension ref="A2:G26"/>
  <sheetViews>
    <sheetView rightToLeft="1" workbookViewId="0">
      <selection activeCell="E4" sqref="E4:G26"/>
    </sheetView>
  </sheetViews>
  <sheetFormatPr baseColWidth="10" defaultRowHeight="15" x14ac:dyDescent="0.25"/>
  <cols>
    <col min="1" max="1" width="6.28515625" customWidth="1"/>
    <col min="4" max="4" width="22" customWidth="1"/>
  </cols>
  <sheetData>
    <row r="2" spans="1:7" ht="23.25" x14ac:dyDescent="0.25">
      <c r="A2" s="51" t="s">
        <v>80</v>
      </c>
      <c r="B2" s="69" t="s">
        <v>81</v>
      </c>
      <c r="C2" s="70"/>
      <c r="D2" s="51" t="s">
        <v>82</v>
      </c>
      <c r="E2" s="48" t="s">
        <v>76</v>
      </c>
      <c r="F2" s="49"/>
      <c r="G2" s="50"/>
    </row>
    <row r="3" spans="1:7" ht="18.75" x14ac:dyDescent="0.25">
      <c r="A3" s="52"/>
      <c r="B3" s="71"/>
      <c r="C3" s="72"/>
      <c r="D3" s="52"/>
      <c r="E3" s="16" t="s">
        <v>77</v>
      </c>
      <c r="F3" s="16" t="s">
        <v>78</v>
      </c>
      <c r="G3" s="16" t="s">
        <v>79</v>
      </c>
    </row>
    <row r="4" spans="1:7" x14ac:dyDescent="0.25">
      <c r="A4" s="25">
        <v>1</v>
      </c>
      <c r="B4" s="64" t="s">
        <v>606</v>
      </c>
      <c r="C4" s="65" t="s">
        <v>606</v>
      </c>
      <c r="D4" s="28" t="s">
        <v>628</v>
      </c>
      <c r="E4" s="29">
        <v>14</v>
      </c>
      <c r="F4" s="29"/>
      <c r="G4" s="29">
        <f t="shared" ref="G4:G26" si="0">SUM(E4:F4)</f>
        <v>14</v>
      </c>
    </row>
    <row r="5" spans="1:7" x14ac:dyDescent="0.25">
      <c r="A5" s="25">
        <v>2</v>
      </c>
      <c r="B5" s="64" t="s">
        <v>607</v>
      </c>
      <c r="C5" s="65" t="s">
        <v>607</v>
      </c>
      <c r="D5" s="28" t="s">
        <v>629</v>
      </c>
      <c r="E5" s="29"/>
      <c r="F5" s="29">
        <v>8</v>
      </c>
      <c r="G5" s="29">
        <f t="shared" si="0"/>
        <v>8</v>
      </c>
    </row>
    <row r="6" spans="1:7" x14ac:dyDescent="0.25">
      <c r="A6" s="25">
        <v>3</v>
      </c>
      <c r="B6" s="64" t="s">
        <v>608</v>
      </c>
      <c r="C6" s="65" t="s">
        <v>608</v>
      </c>
      <c r="D6" s="28" t="s">
        <v>630</v>
      </c>
      <c r="E6" s="29">
        <v>18</v>
      </c>
      <c r="F6" s="29"/>
      <c r="G6" s="29">
        <f t="shared" si="0"/>
        <v>18</v>
      </c>
    </row>
    <row r="7" spans="1:7" x14ac:dyDescent="0.25">
      <c r="A7" s="25">
        <v>4</v>
      </c>
      <c r="B7" s="64" t="s">
        <v>609</v>
      </c>
      <c r="C7" s="65" t="s">
        <v>609</v>
      </c>
      <c r="D7" s="28" t="s">
        <v>631</v>
      </c>
      <c r="E7" s="29"/>
      <c r="F7" s="29">
        <v>8</v>
      </c>
      <c r="G7" s="29">
        <f t="shared" si="0"/>
        <v>8</v>
      </c>
    </row>
    <row r="8" spans="1:7" x14ac:dyDescent="0.25">
      <c r="A8" s="25">
        <v>5</v>
      </c>
      <c r="B8" s="64" t="s">
        <v>610</v>
      </c>
      <c r="C8" s="65" t="s">
        <v>610</v>
      </c>
      <c r="D8" s="28" t="s">
        <v>632</v>
      </c>
      <c r="E8" s="29">
        <v>10</v>
      </c>
      <c r="F8" s="29"/>
      <c r="G8" s="29">
        <f t="shared" si="0"/>
        <v>10</v>
      </c>
    </row>
    <row r="9" spans="1:7" x14ac:dyDescent="0.25">
      <c r="A9" s="25">
        <v>6</v>
      </c>
      <c r="B9" s="64" t="s">
        <v>611</v>
      </c>
      <c r="C9" s="65" t="s">
        <v>611</v>
      </c>
      <c r="D9" s="28" t="s">
        <v>633</v>
      </c>
      <c r="E9" s="29"/>
      <c r="F9" s="29">
        <v>14</v>
      </c>
      <c r="G9" s="29">
        <f t="shared" si="0"/>
        <v>14</v>
      </c>
    </row>
    <row r="10" spans="1:7" x14ac:dyDescent="0.25">
      <c r="A10" s="25">
        <v>7</v>
      </c>
      <c r="B10" s="64" t="s">
        <v>612</v>
      </c>
      <c r="C10" s="65" t="s">
        <v>612</v>
      </c>
      <c r="D10" s="28" t="s">
        <v>634</v>
      </c>
      <c r="E10" s="29">
        <v>8</v>
      </c>
      <c r="F10" s="29">
        <v>3</v>
      </c>
      <c r="G10" s="29">
        <f t="shared" si="0"/>
        <v>11</v>
      </c>
    </row>
    <row r="11" spans="1:7" x14ac:dyDescent="0.25">
      <c r="A11" s="25">
        <v>8</v>
      </c>
      <c r="B11" s="64" t="s">
        <v>613</v>
      </c>
      <c r="C11" s="65" t="s">
        <v>613</v>
      </c>
      <c r="D11" s="28" t="s">
        <v>635</v>
      </c>
      <c r="E11" s="29">
        <v>9</v>
      </c>
      <c r="F11" s="29"/>
      <c r="G11" s="29">
        <f t="shared" si="0"/>
        <v>9</v>
      </c>
    </row>
    <row r="12" spans="1:7" x14ac:dyDescent="0.25">
      <c r="A12" s="25">
        <v>9</v>
      </c>
      <c r="B12" s="64" t="s">
        <v>614</v>
      </c>
      <c r="C12" s="65" t="s">
        <v>614</v>
      </c>
      <c r="D12" s="28" t="s">
        <v>636</v>
      </c>
      <c r="E12" s="29"/>
      <c r="F12" s="29">
        <v>9</v>
      </c>
      <c r="G12" s="29">
        <f t="shared" si="0"/>
        <v>9</v>
      </c>
    </row>
    <row r="13" spans="1:7" x14ac:dyDescent="0.25">
      <c r="A13" s="25">
        <v>10</v>
      </c>
      <c r="B13" s="64" t="s">
        <v>615</v>
      </c>
      <c r="C13" s="65" t="s">
        <v>615</v>
      </c>
      <c r="D13" s="28" t="s">
        <v>637</v>
      </c>
      <c r="E13" s="29">
        <v>5</v>
      </c>
      <c r="F13" s="29">
        <v>4</v>
      </c>
      <c r="G13" s="29">
        <f t="shared" si="0"/>
        <v>9</v>
      </c>
    </row>
    <row r="14" spans="1:7" x14ac:dyDescent="0.25">
      <c r="A14" s="25">
        <v>11</v>
      </c>
      <c r="B14" s="64" t="s">
        <v>616</v>
      </c>
      <c r="C14" s="65" t="s">
        <v>616</v>
      </c>
      <c r="D14" s="28" t="s">
        <v>638</v>
      </c>
      <c r="E14" s="29">
        <v>6</v>
      </c>
      <c r="F14" s="29">
        <v>5</v>
      </c>
      <c r="G14" s="29">
        <f t="shared" si="0"/>
        <v>11</v>
      </c>
    </row>
    <row r="15" spans="1:7" x14ac:dyDescent="0.25">
      <c r="A15" s="25">
        <v>12</v>
      </c>
      <c r="B15" s="64" t="s">
        <v>617</v>
      </c>
      <c r="C15" s="65" t="s">
        <v>617</v>
      </c>
      <c r="D15" s="28" t="s">
        <v>639</v>
      </c>
      <c r="E15" s="29">
        <v>9</v>
      </c>
      <c r="F15" s="29"/>
      <c r="G15" s="29">
        <f t="shared" si="0"/>
        <v>9</v>
      </c>
    </row>
    <row r="16" spans="1:7" x14ac:dyDescent="0.25">
      <c r="A16" s="25">
        <v>13</v>
      </c>
      <c r="B16" s="64" t="s">
        <v>618</v>
      </c>
      <c r="C16" s="65" t="s">
        <v>618</v>
      </c>
      <c r="D16" s="28" t="s">
        <v>640</v>
      </c>
      <c r="E16" s="29"/>
      <c r="F16" s="29">
        <v>11</v>
      </c>
      <c r="G16" s="29">
        <f t="shared" si="0"/>
        <v>11</v>
      </c>
    </row>
    <row r="17" spans="1:7" x14ac:dyDescent="0.25">
      <c r="A17" s="25">
        <v>14</v>
      </c>
      <c r="B17" s="64" t="s">
        <v>619</v>
      </c>
      <c r="C17" s="65" t="s">
        <v>619</v>
      </c>
      <c r="D17" s="28" t="s">
        <v>641</v>
      </c>
      <c r="E17" s="29">
        <v>2</v>
      </c>
      <c r="F17" s="29"/>
      <c r="G17" s="29">
        <f t="shared" si="0"/>
        <v>2</v>
      </c>
    </row>
    <row r="18" spans="1:7" x14ac:dyDescent="0.25">
      <c r="A18" s="25">
        <v>15</v>
      </c>
      <c r="B18" s="64" t="s">
        <v>620</v>
      </c>
      <c r="C18" s="65" t="s">
        <v>620</v>
      </c>
      <c r="D18" s="28" t="s">
        <v>642</v>
      </c>
      <c r="E18" s="29">
        <v>4</v>
      </c>
      <c r="F18" s="29"/>
      <c r="G18" s="29">
        <f t="shared" si="0"/>
        <v>4</v>
      </c>
    </row>
    <row r="19" spans="1:7" x14ac:dyDescent="0.25">
      <c r="A19" s="25">
        <v>16</v>
      </c>
      <c r="B19" s="64" t="s">
        <v>621</v>
      </c>
      <c r="C19" s="65" t="s">
        <v>621</v>
      </c>
      <c r="D19" s="28" t="s">
        <v>642</v>
      </c>
      <c r="E19" s="29"/>
      <c r="F19" s="29">
        <v>3</v>
      </c>
      <c r="G19" s="29">
        <f t="shared" si="0"/>
        <v>3</v>
      </c>
    </row>
    <row r="20" spans="1:7" x14ac:dyDescent="0.25">
      <c r="A20" s="25">
        <v>17</v>
      </c>
      <c r="B20" s="64" t="s">
        <v>622</v>
      </c>
      <c r="C20" s="65" t="s">
        <v>622</v>
      </c>
      <c r="D20" s="28" t="s">
        <v>643</v>
      </c>
      <c r="E20" s="29">
        <v>4</v>
      </c>
      <c r="F20" s="29">
        <v>4</v>
      </c>
      <c r="G20" s="29">
        <f t="shared" si="0"/>
        <v>8</v>
      </c>
    </row>
    <row r="21" spans="1:7" x14ac:dyDescent="0.25">
      <c r="A21" s="25">
        <v>18</v>
      </c>
      <c r="B21" s="64" t="s">
        <v>623</v>
      </c>
      <c r="C21" s="65" t="s">
        <v>623</v>
      </c>
      <c r="D21" s="28" t="s">
        <v>644</v>
      </c>
      <c r="E21" s="29">
        <v>6</v>
      </c>
      <c r="F21" s="29">
        <v>5</v>
      </c>
      <c r="G21" s="29">
        <f t="shared" si="0"/>
        <v>11</v>
      </c>
    </row>
    <row r="22" spans="1:7" x14ac:dyDescent="0.25">
      <c r="A22" s="25">
        <v>19</v>
      </c>
      <c r="B22" s="64" t="s">
        <v>624</v>
      </c>
      <c r="C22" s="65" t="s">
        <v>624</v>
      </c>
      <c r="D22" s="28" t="s">
        <v>645</v>
      </c>
      <c r="E22" s="29">
        <v>5</v>
      </c>
      <c r="F22" s="29">
        <v>4</v>
      </c>
      <c r="G22" s="29">
        <f t="shared" si="0"/>
        <v>9</v>
      </c>
    </row>
    <row r="23" spans="1:7" x14ac:dyDescent="0.25">
      <c r="A23" s="25">
        <v>20</v>
      </c>
      <c r="B23" s="64" t="s">
        <v>625</v>
      </c>
      <c r="C23" s="65" t="s">
        <v>625</v>
      </c>
      <c r="D23" s="28" t="s">
        <v>646</v>
      </c>
      <c r="E23" s="29"/>
      <c r="F23" s="29">
        <v>5</v>
      </c>
      <c r="G23" s="29">
        <f t="shared" si="0"/>
        <v>5</v>
      </c>
    </row>
    <row r="24" spans="1:7" x14ac:dyDescent="0.25">
      <c r="A24" s="25">
        <v>21</v>
      </c>
      <c r="B24" s="64" t="s">
        <v>626</v>
      </c>
      <c r="C24" s="65" t="s">
        <v>626</v>
      </c>
      <c r="D24" s="28" t="s">
        <v>647</v>
      </c>
      <c r="E24" s="29">
        <v>4</v>
      </c>
      <c r="F24" s="29"/>
      <c r="G24" s="29">
        <f t="shared" si="0"/>
        <v>4</v>
      </c>
    </row>
    <row r="25" spans="1:7" x14ac:dyDescent="0.25">
      <c r="A25" s="25">
        <v>22</v>
      </c>
      <c r="B25" s="64" t="s">
        <v>627</v>
      </c>
      <c r="C25" s="65" t="s">
        <v>627</v>
      </c>
      <c r="D25" s="28" t="s">
        <v>648</v>
      </c>
      <c r="E25" s="29">
        <v>3</v>
      </c>
      <c r="F25" s="29">
        <v>3</v>
      </c>
      <c r="G25" s="29">
        <f t="shared" si="0"/>
        <v>6</v>
      </c>
    </row>
    <row r="26" spans="1:7" x14ac:dyDescent="0.25">
      <c r="A26" s="66" t="s">
        <v>71</v>
      </c>
      <c r="B26" s="67"/>
      <c r="C26" s="67"/>
      <c r="D26" s="68"/>
      <c r="E26" s="27">
        <f>SUM(E4:E25)</f>
        <v>107</v>
      </c>
      <c r="F26" s="27">
        <f>SUM(F4:F25)</f>
        <v>86</v>
      </c>
      <c r="G26" s="27">
        <f t="shared" si="0"/>
        <v>193</v>
      </c>
    </row>
  </sheetData>
  <mergeCells count="27">
    <mergeCell ref="B25:C25"/>
    <mergeCell ref="A26:D26"/>
    <mergeCell ref="B24:C24"/>
    <mergeCell ref="B18:C18"/>
    <mergeCell ref="B19:C19"/>
    <mergeCell ref="B20:C20"/>
    <mergeCell ref="B21:C21"/>
    <mergeCell ref="B22:C22"/>
    <mergeCell ref="B23:C23"/>
    <mergeCell ref="B17:C17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5:C5"/>
    <mergeCell ref="A2:A3"/>
    <mergeCell ref="B2:C3"/>
    <mergeCell ref="D2:D3"/>
    <mergeCell ref="E2:G2"/>
    <mergeCell ref="B4:C4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DA8D5-A599-4BC6-AB0F-0909906E4A9D}">
  <dimension ref="A2:G10"/>
  <sheetViews>
    <sheetView rightToLeft="1" workbookViewId="0">
      <selection activeCell="D16" sqref="D16"/>
    </sheetView>
  </sheetViews>
  <sheetFormatPr baseColWidth="10" defaultRowHeight="15" x14ac:dyDescent="0.25"/>
  <cols>
    <col min="1" max="1" width="6.28515625" customWidth="1"/>
    <col min="3" max="3" width="17.85546875" customWidth="1"/>
    <col min="4" max="4" width="22" customWidth="1"/>
  </cols>
  <sheetData>
    <row r="2" spans="1:7" ht="23.25" x14ac:dyDescent="0.25">
      <c r="A2" s="51" t="s">
        <v>80</v>
      </c>
      <c r="B2" s="69" t="s">
        <v>81</v>
      </c>
      <c r="C2" s="70"/>
      <c r="D2" s="51" t="s">
        <v>82</v>
      </c>
      <c r="E2" s="48" t="s">
        <v>76</v>
      </c>
      <c r="F2" s="49"/>
      <c r="G2" s="50"/>
    </row>
    <row r="3" spans="1:7" ht="18.75" x14ac:dyDescent="0.25">
      <c r="A3" s="52"/>
      <c r="B3" s="71"/>
      <c r="C3" s="72"/>
      <c r="D3" s="52"/>
      <c r="E3" s="16" t="s">
        <v>77</v>
      </c>
      <c r="F3" s="16" t="s">
        <v>78</v>
      </c>
      <c r="G3" s="16" t="s">
        <v>79</v>
      </c>
    </row>
    <row r="4" spans="1:7" x14ac:dyDescent="0.25">
      <c r="A4" s="25">
        <v>1</v>
      </c>
      <c r="B4" s="64" t="s">
        <v>649</v>
      </c>
      <c r="C4" s="65" t="s">
        <v>649</v>
      </c>
      <c r="D4" s="28" t="s">
        <v>655</v>
      </c>
      <c r="E4" s="29">
        <v>3</v>
      </c>
      <c r="F4" s="29">
        <v>3</v>
      </c>
      <c r="G4" s="29">
        <f t="shared" ref="G4:G10" si="0">SUM(E4:F4)</f>
        <v>6</v>
      </c>
    </row>
    <row r="5" spans="1:7" x14ac:dyDescent="0.25">
      <c r="A5" s="25">
        <v>2</v>
      </c>
      <c r="B5" s="64" t="s">
        <v>650</v>
      </c>
      <c r="C5" s="65" t="s">
        <v>650</v>
      </c>
      <c r="D5" s="28" t="s">
        <v>656</v>
      </c>
      <c r="E5" s="29">
        <v>8</v>
      </c>
      <c r="F5" s="29">
        <v>5</v>
      </c>
      <c r="G5" s="29">
        <f t="shared" si="0"/>
        <v>13</v>
      </c>
    </row>
    <row r="6" spans="1:7" x14ac:dyDescent="0.25">
      <c r="A6" s="25">
        <v>3</v>
      </c>
      <c r="B6" s="64" t="s">
        <v>651</v>
      </c>
      <c r="C6" s="65" t="s">
        <v>651</v>
      </c>
      <c r="D6" s="28" t="s">
        <v>657</v>
      </c>
      <c r="E6" s="29">
        <v>4</v>
      </c>
      <c r="F6" s="29">
        <v>4</v>
      </c>
      <c r="G6" s="29">
        <f t="shared" si="0"/>
        <v>8</v>
      </c>
    </row>
    <row r="7" spans="1:7" x14ac:dyDescent="0.25">
      <c r="A7" s="25">
        <v>4</v>
      </c>
      <c r="B7" s="64" t="s">
        <v>652</v>
      </c>
      <c r="C7" s="65" t="s">
        <v>652</v>
      </c>
      <c r="D7" s="28" t="s">
        <v>658</v>
      </c>
      <c r="E7" s="29">
        <v>10</v>
      </c>
      <c r="F7" s="29">
        <v>8</v>
      </c>
      <c r="G7" s="29">
        <f t="shared" si="0"/>
        <v>18</v>
      </c>
    </row>
    <row r="8" spans="1:7" x14ac:dyDescent="0.25">
      <c r="A8" s="25">
        <v>5</v>
      </c>
      <c r="B8" s="64" t="s">
        <v>653</v>
      </c>
      <c r="C8" s="65" t="s">
        <v>653</v>
      </c>
      <c r="D8" s="28" t="s">
        <v>659</v>
      </c>
      <c r="E8" s="29">
        <v>12</v>
      </c>
      <c r="F8" s="29"/>
      <c r="G8" s="29">
        <f t="shared" si="0"/>
        <v>12</v>
      </c>
    </row>
    <row r="9" spans="1:7" x14ac:dyDescent="0.25">
      <c r="A9" s="25">
        <v>6</v>
      </c>
      <c r="B9" s="64" t="s">
        <v>654</v>
      </c>
      <c r="C9" s="65" t="s">
        <v>654</v>
      </c>
      <c r="D9" s="28" t="s">
        <v>660</v>
      </c>
      <c r="E9" s="29"/>
      <c r="F9" s="29">
        <v>9</v>
      </c>
      <c r="G9" s="29">
        <f t="shared" si="0"/>
        <v>9</v>
      </c>
    </row>
    <row r="10" spans="1:7" x14ac:dyDescent="0.25">
      <c r="A10" s="66" t="s">
        <v>71</v>
      </c>
      <c r="B10" s="67"/>
      <c r="C10" s="67"/>
      <c r="D10" s="68"/>
      <c r="E10" s="27">
        <f>SUM(E4:E9)</f>
        <v>37</v>
      </c>
      <c r="F10" s="27">
        <f>SUM(F4:F9)</f>
        <v>29</v>
      </c>
      <c r="G10" s="27">
        <f t="shared" si="0"/>
        <v>66</v>
      </c>
    </row>
  </sheetData>
  <mergeCells count="11">
    <mergeCell ref="A10:D10"/>
    <mergeCell ref="B6:C6"/>
    <mergeCell ref="B7:C7"/>
    <mergeCell ref="B8:C8"/>
    <mergeCell ref="B9:C9"/>
    <mergeCell ref="B5:C5"/>
    <mergeCell ref="A2:A3"/>
    <mergeCell ref="B2:C3"/>
    <mergeCell ref="D2:D3"/>
    <mergeCell ref="E2:G2"/>
    <mergeCell ref="B4:C4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C8B35-D751-4CA2-9E4F-165580688EB9}">
  <dimension ref="A2:G17"/>
  <sheetViews>
    <sheetView rightToLeft="1" workbookViewId="0">
      <selection activeCell="I27" sqref="I27"/>
    </sheetView>
  </sheetViews>
  <sheetFormatPr baseColWidth="10" defaultRowHeight="15" x14ac:dyDescent="0.25"/>
  <cols>
    <col min="1" max="1" width="6.28515625" customWidth="1"/>
    <col min="4" max="4" width="22" customWidth="1"/>
  </cols>
  <sheetData>
    <row r="2" spans="1:7" ht="23.25" x14ac:dyDescent="0.25">
      <c r="A2" s="51" t="s">
        <v>80</v>
      </c>
      <c r="B2" s="69" t="s">
        <v>81</v>
      </c>
      <c r="C2" s="70"/>
      <c r="D2" s="51" t="s">
        <v>82</v>
      </c>
      <c r="E2" s="48" t="s">
        <v>76</v>
      </c>
      <c r="F2" s="49"/>
      <c r="G2" s="50"/>
    </row>
    <row r="3" spans="1:7" ht="18.75" x14ac:dyDescent="0.25">
      <c r="A3" s="52"/>
      <c r="B3" s="71"/>
      <c r="C3" s="72"/>
      <c r="D3" s="52"/>
      <c r="E3" s="16" t="s">
        <v>77</v>
      </c>
      <c r="F3" s="16" t="s">
        <v>78</v>
      </c>
      <c r="G3" s="16" t="s">
        <v>79</v>
      </c>
    </row>
    <row r="4" spans="1:7" x14ac:dyDescent="0.25">
      <c r="A4" s="25">
        <v>1</v>
      </c>
      <c r="B4" s="64" t="s">
        <v>661</v>
      </c>
      <c r="C4" s="65" t="s">
        <v>661</v>
      </c>
      <c r="D4" s="28" t="s">
        <v>674</v>
      </c>
      <c r="E4" s="29">
        <v>8</v>
      </c>
      <c r="F4" s="29">
        <v>7</v>
      </c>
      <c r="G4" s="29">
        <f t="shared" ref="G4:G17" si="0">SUM(E4:F4)</f>
        <v>15</v>
      </c>
    </row>
    <row r="5" spans="1:7" x14ac:dyDescent="0.25">
      <c r="A5" s="25">
        <v>2</v>
      </c>
      <c r="B5" s="64" t="s">
        <v>662</v>
      </c>
      <c r="C5" s="65" t="s">
        <v>662</v>
      </c>
      <c r="D5" s="28" t="s">
        <v>675</v>
      </c>
      <c r="E5" s="29">
        <v>2</v>
      </c>
      <c r="F5" s="29">
        <v>2</v>
      </c>
      <c r="G5" s="29">
        <f t="shared" si="0"/>
        <v>4</v>
      </c>
    </row>
    <row r="6" spans="1:7" x14ac:dyDescent="0.25">
      <c r="A6" s="25">
        <v>3</v>
      </c>
      <c r="B6" s="64" t="s">
        <v>663</v>
      </c>
      <c r="C6" s="65" t="s">
        <v>663</v>
      </c>
      <c r="D6" s="28" t="s">
        <v>676</v>
      </c>
      <c r="E6" s="29"/>
      <c r="F6" s="29">
        <v>6</v>
      </c>
      <c r="G6" s="29">
        <f t="shared" si="0"/>
        <v>6</v>
      </c>
    </row>
    <row r="7" spans="1:7" x14ac:dyDescent="0.25">
      <c r="A7" s="25">
        <v>4</v>
      </c>
      <c r="B7" s="64" t="s">
        <v>664</v>
      </c>
      <c r="C7" s="65" t="s">
        <v>664</v>
      </c>
      <c r="D7" s="28" t="s">
        <v>677</v>
      </c>
      <c r="E7" s="29">
        <v>3</v>
      </c>
      <c r="F7" s="29">
        <v>3</v>
      </c>
      <c r="G7" s="29">
        <f t="shared" si="0"/>
        <v>6</v>
      </c>
    </row>
    <row r="8" spans="1:7" x14ac:dyDescent="0.25">
      <c r="A8" s="25">
        <v>5</v>
      </c>
      <c r="B8" s="64" t="s">
        <v>665</v>
      </c>
      <c r="C8" s="65" t="s">
        <v>665</v>
      </c>
      <c r="D8" s="28" t="s">
        <v>678</v>
      </c>
      <c r="E8" s="29"/>
      <c r="F8" s="29">
        <v>2</v>
      </c>
      <c r="G8" s="29">
        <f t="shared" si="0"/>
        <v>2</v>
      </c>
    </row>
    <row r="9" spans="1:7" x14ac:dyDescent="0.25">
      <c r="A9" s="25">
        <v>6</v>
      </c>
      <c r="B9" s="64" t="s">
        <v>666</v>
      </c>
      <c r="C9" s="65" t="s">
        <v>666</v>
      </c>
      <c r="D9" s="28" t="s">
        <v>679</v>
      </c>
      <c r="E9" s="29">
        <v>3</v>
      </c>
      <c r="F9" s="29">
        <v>3</v>
      </c>
      <c r="G9" s="29">
        <f t="shared" si="0"/>
        <v>6</v>
      </c>
    </row>
    <row r="10" spans="1:7" x14ac:dyDescent="0.25">
      <c r="A10" s="25">
        <v>7</v>
      </c>
      <c r="B10" s="64" t="s">
        <v>667</v>
      </c>
      <c r="C10" s="65" t="s">
        <v>667</v>
      </c>
      <c r="D10" s="28" t="s">
        <v>680</v>
      </c>
      <c r="E10" s="29">
        <v>7</v>
      </c>
      <c r="F10" s="29">
        <v>3</v>
      </c>
      <c r="G10" s="29">
        <f t="shared" si="0"/>
        <v>10</v>
      </c>
    </row>
    <row r="11" spans="1:7" x14ac:dyDescent="0.25">
      <c r="A11" s="25">
        <v>8</v>
      </c>
      <c r="B11" s="64" t="s">
        <v>668</v>
      </c>
      <c r="C11" s="65" t="s">
        <v>668</v>
      </c>
      <c r="D11" s="28" t="s">
        <v>681</v>
      </c>
      <c r="E11" s="29">
        <v>3</v>
      </c>
      <c r="F11" s="29">
        <v>3</v>
      </c>
      <c r="G11" s="29">
        <f t="shared" si="0"/>
        <v>6</v>
      </c>
    </row>
    <row r="12" spans="1:7" x14ac:dyDescent="0.25">
      <c r="A12" s="25">
        <v>9</v>
      </c>
      <c r="B12" s="64" t="s">
        <v>669</v>
      </c>
      <c r="C12" s="65" t="s">
        <v>669</v>
      </c>
      <c r="D12" s="28" t="s">
        <v>682</v>
      </c>
      <c r="E12" s="29">
        <v>7</v>
      </c>
      <c r="F12" s="29">
        <v>5</v>
      </c>
      <c r="G12" s="29">
        <f t="shared" si="0"/>
        <v>12</v>
      </c>
    </row>
    <row r="13" spans="1:7" x14ac:dyDescent="0.25">
      <c r="A13" s="25">
        <v>10</v>
      </c>
      <c r="B13" s="64" t="s">
        <v>670</v>
      </c>
      <c r="C13" s="65" t="s">
        <v>670</v>
      </c>
      <c r="D13" s="28" t="s">
        <v>683</v>
      </c>
      <c r="E13" s="29">
        <v>4</v>
      </c>
      <c r="F13" s="29">
        <v>4</v>
      </c>
      <c r="G13" s="29">
        <f t="shared" si="0"/>
        <v>8</v>
      </c>
    </row>
    <row r="14" spans="1:7" x14ac:dyDescent="0.25">
      <c r="A14" s="25">
        <v>11</v>
      </c>
      <c r="B14" s="64" t="s">
        <v>671</v>
      </c>
      <c r="C14" s="65" t="s">
        <v>671</v>
      </c>
      <c r="D14" s="28" t="s">
        <v>684</v>
      </c>
      <c r="E14" s="29">
        <v>6</v>
      </c>
      <c r="F14" s="29">
        <v>3</v>
      </c>
      <c r="G14" s="29">
        <f t="shared" si="0"/>
        <v>9</v>
      </c>
    </row>
    <row r="15" spans="1:7" x14ac:dyDescent="0.25">
      <c r="A15" s="25">
        <v>12</v>
      </c>
      <c r="B15" s="64" t="s">
        <v>672</v>
      </c>
      <c r="C15" s="65" t="s">
        <v>672</v>
      </c>
      <c r="D15" s="28" t="s">
        <v>685</v>
      </c>
      <c r="E15" s="29">
        <v>8</v>
      </c>
      <c r="F15" s="29"/>
      <c r="G15" s="29">
        <f t="shared" si="0"/>
        <v>8</v>
      </c>
    </row>
    <row r="16" spans="1:7" x14ac:dyDescent="0.25">
      <c r="A16" s="25">
        <v>13</v>
      </c>
      <c r="B16" s="64" t="s">
        <v>673</v>
      </c>
      <c r="C16" s="65" t="s">
        <v>673</v>
      </c>
      <c r="D16" s="28" t="s">
        <v>686</v>
      </c>
      <c r="E16" s="29">
        <v>5</v>
      </c>
      <c r="F16" s="29">
        <v>5</v>
      </c>
      <c r="G16" s="29">
        <f t="shared" si="0"/>
        <v>10</v>
      </c>
    </row>
    <row r="17" spans="1:7" x14ac:dyDescent="0.25">
      <c r="A17" s="66" t="s">
        <v>71</v>
      </c>
      <c r="B17" s="67"/>
      <c r="C17" s="67"/>
      <c r="D17" s="68"/>
      <c r="E17" s="27">
        <f>SUM(E4:E16)</f>
        <v>56</v>
      </c>
      <c r="F17" s="27">
        <f>SUM(F4:F16)</f>
        <v>46</v>
      </c>
      <c r="G17" s="27">
        <f t="shared" si="0"/>
        <v>102</v>
      </c>
    </row>
  </sheetData>
  <mergeCells count="18">
    <mergeCell ref="A17:D17"/>
    <mergeCell ref="B12:C12"/>
    <mergeCell ref="B13:C13"/>
    <mergeCell ref="B14:C14"/>
    <mergeCell ref="B15:C15"/>
    <mergeCell ref="B16:C16"/>
    <mergeCell ref="B11:C11"/>
    <mergeCell ref="A2:A3"/>
    <mergeCell ref="B2:C3"/>
    <mergeCell ref="D2:D3"/>
    <mergeCell ref="E2:G2"/>
    <mergeCell ref="B4:C4"/>
    <mergeCell ref="B5:C5"/>
    <mergeCell ref="B6:C6"/>
    <mergeCell ref="B7:C7"/>
    <mergeCell ref="B8:C8"/>
    <mergeCell ref="B9:C9"/>
    <mergeCell ref="B10:C10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7349F-B598-4E64-A30E-9F8447146A6F}">
  <dimension ref="A2:G15"/>
  <sheetViews>
    <sheetView rightToLeft="1" workbookViewId="0">
      <selection activeCell="E4" sqref="E4:G15"/>
    </sheetView>
  </sheetViews>
  <sheetFormatPr baseColWidth="10" defaultRowHeight="15" x14ac:dyDescent="0.25"/>
  <cols>
    <col min="1" max="1" width="6.28515625" customWidth="1"/>
    <col min="4" max="4" width="22" customWidth="1"/>
  </cols>
  <sheetData>
    <row r="2" spans="1:7" ht="23.25" x14ac:dyDescent="0.25">
      <c r="A2" s="51" t="s">
        <v>80</v>
      </c>
      <c r="B2" s="69" t="s">
        <v>81</v>
      </c>
      <c r="C2" s="70"/>
      <c r="D2" s="51" t="s">
        <v>82</v>
      </c>
      <c r="E2" s="48" t="s">
        <v>76</v>
      </c>
      <c r="F2" s="49"/>
      <c r="G2" s="50"/>
    </row>
    <row r="3" spans="1:7" ht="18.75" x14ac:dyDescent="0.25">
      <c r="A3" s="52"/>
      <c r="B3" s="71"/>
      <c r="C3" s="72"/>
      <c r="D3" s="52"/>
      <c r="E3" s="16" t="s">
        <v>77</v>
      </c>
      <c r="F3" s="16" t="s">
        <v>78</v>
      </c>
      <c r="G3" s="16" t="s">
        <v>79</v>
      </c>
    </row>
    <row r="4" spans="1:7" x14ac:dyDescent="0.25">
      <c r="A4" s="25">
        <v>1</v>
      </c>
      <c r="B4" s="64" t="s">
        <v>687</v>
      </c>
      <c r="C4" s="65" t="s">
        <v>687</v>
      </c>
      <c r="D4" s="28" t="s">
        <v>697</v>
      </c>
      <c r="E4" s="29">
        <v>5</v>
      </c>
      <c r="F4" s="29">
        <v>4</v>
      </c>
      <c r="G4" s="29">
        <f t="shared" ref="G4:G15" si="0">SUM(E4:F4)</f>
        <v>9</v>
      </c>
    </row>
    <row r="5" spans="1:7" x14ac:dyDescent="0.25">
      <c r="A5" s="25">
        <v>2</v>
      </c>
      <c r="B5" s="64" t="s">
        <v>688</v>
      </c>
      <c r="C5" s="65" t="s">
        <v>688</v>
      </c>
      <c r="D5" s="28" t="s">
        <v>698</v>
      </c>
      <c r="E5" s="29">
        <v>4</v>
      </c>
      <c r="F5" s="29">
        <v>3</v>
      </c>
      <c r="G5" s="29">
        <f t="shared" si="0"/>
        <v>7</v>
      </c>
    </row>
    <row r="6" spans="1:7" x14ac:dyDescent="0.25">
      <c r="A6" s="25">
        <v>3</v>
      </c>
      <c r="B6" s="64" t="s">
        <v>689</v>
      </c>
      <c r="C6" s="65" t="s">
        <v>689</v>
      </c>
      <c r="D6" s="28" t="s">
        <v>699</v>
      </c>
      <c r="E6" s="29">
        <v>4</v>
      </c>
      <c r="F6" s="29">
        <v>3</v>
      </c>
      <c r="G6" s="29">
        <f t="shared" si="0"/>
        <v>7</v>
      </c>
    </row>
    <row r="7" spans="1:7" x14ac:dyDescent="0.25">
      <c r="A7" s="25">
        <v>4</v>
      </c>
      <c r="B7" s="64" t="s">
        <v>690</v>
      </c>
      <c r="C7" s="65" t="s">
        <v>690</v>
      </c>
      <c r="D7" s="28" t="s">
        <v>700</v>
      </c>
      <c r="E7" s="29">
        <v>5</v>
      </c>
      <c r="F7" s="29">
        <v>3</v>
      </c>
      <c r="G7" s="29">
        <f t="shared" si="0"/>
        <v>8</v>
      </c>
    </row>
    <row r="8" spans="1:7" x14ac:dyDescent="0.25">
      <c r="A8" s="25">
        <v>5</v>
      </c>
      <c r="B8" s="64" t="s">
        <v>691</v>
      </c>
      <c r="C8" s="65" t="s">
        <v>691</v>
      </c>
      <c r="D8" s="28" t="s">
        <v>701</v>
      </c>
      <c r="E8" s="29">
        <v>5</v>
      </c>
      <c r="F8" s="29">
        <v>4</v>
      </c>
      <c r="G8" s="29">
        <f t="shared" si="0"/>
        <v>9</v>
      </c>
    </row>
    <row r="9" spans="1:7" x14ac:dyDescent="0.25">
      <c r="A9" s="25">
        <v>6</v>
      </c>
      <c r="B9" s="64" t="s">
        <v>692</v>
      </c>
      <c r="C9" s="65" t="s">
        <v>692</v>
      </c>
      <c r="D9" s="28" t="s">
        <v>702</v>
      </c>
      <c r="E9" s="29">
        <v>4</v>
      </c>
      <c r="F9" s="29">
        <v>3</v>
      </c>
      <c r="G9" s="29">
        <f t="shared" si="0"/>
        <v>7</v>
      </c>
    </row>
    <row r="10" spans="1:7" x14ac:dyDescent="0.25">
      <c r="A10" s="25">
        <v>7</v>
      </c>
      <c r="B10" s="64" t="s">
        <v>693</v>
      </c>
      <c r="C10" s="65" t="s">
        <v>693</v>
      </c>
      <c r="D10" s="28" t="s">
        <v>703</v>
      </c>
      <c r="E10" s="29">
        <v>4</v>
      </c>
      <c r="F10" s="29">
        <v>3</v>
      </c>
      <c r="G10" s="29">
        <f t="shared" si="0"/>
        <v>7</v>
      </c>
    </row>
    <row r="11" spans="1:7" x14ac:dyDescent="0.25">
      <c r="A11" s="25">
        <v>8</v>
      </c>
      <c r="B11" s="64" t="s">
        <v>175</v>
      </c>
      <c r="C11" s="65" t="s">
        <v>175</v>
      </c>
      <c r="D11" s="28" t="s">
        <v>704</v>
      </c>
      <c r="E11" s="29">
        <v>4</v>
      </c>
      <c r="F11" s="29">
        <v>4</v>
      </c>
      <c r="G11" s="29">
        <f t="shared" si="0"/>
        <v>8</v>
      </c>
    </row>
    <row r="12" spans="1:7" x14ac:dyDescent="0.25">
      <c r="A12" s="25">
        <v>9</v>
      </c>
      <c r="B12" s="64" t="s">
        <v>694</v>
      </c>
      <c r="C12" s="65" t="s">
        <v>694</v>
      </c>
      <c r="D12" s="28" t="s">
        <v>705</v>
      </c>
      <c r="E12" s="29">
        <v>5</v>
      </c>
      <c r="F12" s="29">
        <v>3</v>
      </c>
      <c r="G12" s="29">
        <f t="shared" si="0"/>
        <v>8</v>
      </c>
    </row>
    <row r="13" spans="1:7" x14ac:dyDescent="0.25">
      <c r="A13" s="25">
        <v>10</v>
      </c>
      <c r="B13" s="64" t="s">
        <v>695</v>
      </c>
      <c r="C13" s="65" t="s">
        <v>695</v>
      </c>
      <c r="D13" s="28" t="s">
        <v>706</v>
      </c>
      <c r="E13" s="29">
        <v>2</v>
      </c>
      <c r="F13" s="29">
        <v>2</v>
      </c>
      <c r="G13" s="29">
        <f t="shared" si="0"/>
        <v>4</v>
      </c>
    </row>
    <row r="14" spans="1:7" x14ac:dyDescent="0.25">
      <c r="A14" s="25">
        <v>11</v>
      </c>
      <c r="B14" s="64" t="s">
        <v>696</v>
      </c>
      <c r="C14" s="65" t="s">
        <v>696</v>
      </c>
      <c r="D14" s="28" t="s">
        <v>707</v>
      </c>
      <c r="E14" s="29">
        <v>2</v>
      </c>
      <c r="F14" s="29">
        <v>2</v>
      </c>
      <c r="G14" s="29">
        <f t="shared" si="0"/>
        <v>4</v>
      </c>
    </row>
    <row r="15" spans="1:7" x14ac:dyDescent="0.25">
      <c r="A15" s="66" t="s">
        <v>71</v>
      </c>
      <c r="B15" s="67"/>
      <c r="C15" s="67"/>
      <c r="D15" s="68"/>
      <c r="E15" s="27">
        <f>SUM(E4:E14)</f>
        <v>44</v>
      </c>
      <c r="F15" s="27">
        <f>SUM(F4:F14)</f>
        <v>34</v>
      </c>
      <c r="G15" s="27">
        <f t="shared" si="0"/>
        <v>78</v>
      </c>
    </row>
  </sheetData>
  <mergeCells count="16">
    <mergeCell ref="B12:C12"/>
    <mergeCell ref="B13:C13"/>
    <mergeCell ref="B14:C14"/>
    <mergeCell ref="A15:D15"/>
    <mergeCell ref="B6:C6"/>
    <mergeCell ref="B7:C7"/>
    <mergeCell ref="B8:C8"/>
    <mergeCell ref="B9:C9"/>
    <mergeCell ref="B10:C10"/>
    <mergeCell ref="B11:C11"/>
    <mergeCell ref="B5:C5"/>
    <mergeCell ref="A2:A3"/>
    <mergeCell ref="B2:C3"/>
    <mergeCell ref="D2:D3"/>
    <mergeCell ref="E2:G2"/>
    <mergeCell ref="B4:C4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23D82-F358-4810-A193-04DFC1E44848}">
  <dimension ref="A2:G12"/>
  <sheetViews>
    <sheetView rightToLeft="1" workbookViewId="0">
      <selection activeCell="E4" sqref="E4:G12"/>
    </sheetView>
  </sheetViews>
  <sheetFormatPr baseColWidth="10" defaultRowHeight="15" x14ac:dyDescent="0.25"/>
  <cols>
    <col min="1" max="1" width="6.28515625" customWidth="1"/>
    <col min="4" max="4" width="22" customWidth="1"/>
  </cols>
  <sheetData>
    <row r="2" spans="1:7" ht="23.25" x14ac:dyDescent="0.25">
      <c r="A2" s="51" t="s">
        <v>80</v>
      </c>
      <c r="B2" s="69" t="s">
        <v>81</v>
      </c>
      <c r="C2" s="70"/>
      <c r="D2" s="51" t="s">
        <v>82</v>
      </c>
      <c r="E2" s="48" t="s">
        <v>76</v>
      </c>
      <c r="F2" s="49"/>
      <c r="G2" s="50"/>
    </row>
    <row r="3" spans="1:7" ht="18.75" x14ac:dyDescent="0.25">
      <c r="A3" s="52"/>
      <c r="B3" s="71"/>
      <c r="C3" s="72"/>
      <c r="D3" s="52"/>
      <c r="E3" s="16" t="s">
        <v>77</v>
      </c>
      <c r="F3" s="16" t="s">
        <v>78</v>
      </c>
      <c r="G3" s="16" t="s">
        <v>79</v>
      </c>
    </row>
    <row r="4" spans="1:7" x14ac:dyDescent="0.25">
      <c r="A4" s="25">
        <v>1</v>
      </c>
      <c r="B4" s="64" t="s">
        <v>709</v>
      </c>
      <c r="C4" s="65" t="s">
        <v>709</v>
      </c>
      <c r="D4" s="28" t="s">
        <v>708</v>
      </c>
      <c r="E4" s="29">
        <v>13</v>
      </c>
      <c r="F4" s="29">
        <v>14</v>
      </c>
      <c r="G4" s="29">
        <f t="shared" ref="G4:G12" si="0">SUM(E4:F4)</f>
        <v>27</v>
      </c>
    </row>
    <row r="5" spans="1:7" x14ac:dyDescent="0.25">
      <c r="A5" s="25">
        <v>2</v>
      </c>
      <c r="B5" s="64" t="s">
        <v>711</v>
      </c>
      <c r="C5" s="65" t="s">
        <v>711</v>
      </c>
      <c r="D5" s="28" t="s">
        <v>710</v>
      </c>
      <c r="E5" s="29"/>
      <c r="F5" s="29">
        <v>7</v>
      </c>
      <c r="G5" s="29">
        <f t="shared" si="0"/>
        <v>7</v>
      </c>
    </row>
    <row r="6" spans="1:7" x14ac:dyDescent="0.25">
      <c r="A6" s="25">
        <v>3</v>
      </c>
      <c r="B6" s="64" t="s">
        <v>713</v>
      </c>
      <c r="C6" s="65" t="s">
        <v>713</v>
      </c>
      <c r="D6" s="28" t="s">
        <v>712</v>
      </c>
      <c r="E6" s="29">
        <v>10</v>
      </c>
      <c r="F6" s="29">
        <v>4</v>
      </c>
      <c r="G6" s="29">
        <f t="shared" si="0"/>
        <v>14</v>
      </c>
    </row>
    <row r="7" spans="1:7" x14ac:dyDescent="0.25">
      <c r="A7" s="25">
        <v>4</v>
      </c>
      <c r="B7" s="64" t="s">
        <v>714</v>
      </c>
      <c r="C7" s="65" t="s">
        <v>714</v>
      </c>
      <c r="D7" s="28" t="s">
        <v>712</v>
      </c>
      <c r="E7" s="29">
        <v>5</v>
      </c>
      <c r="F7" s="29"/>
      <c r="G7" s="29">
        <f t="shared" si="0"/>
        <v>5</v>
      </c>
    </row>
    <row r="8" spans="1:7" x14ac:dyDescent="0.25">
      <c r="A8" s="25">
        <v>5</v>
      </c>
      <c r="B8" s="64" t="s">
        <v>716</v>
      </c>
      <c r="C8" s="65" t="s">
        <v>716</v>
      </c>
      <c r="D8" s="28" t="s">
        <v>715</v>
      </c>
      <c r="E8" s="29">
        <v>8</v>
      </c>
      <c r="F8" s="29">
        <v>1</v>
      </c>
      <c r="G8" s="29">
        <f t="shared" si="0"/>
        <v>9</v>
      </c>
    </row>
    <row r="9" spans="1:7" x14ac:dyDescent="0.25">
      <c r="A9" s="25">
        <v>6</v>
      </c>
      <c r="B9" s="64" t="s">
        <v>718</v>
      </c>
      <c r="C9" s="65" t="s">
        <v>718</v>
      </c>
      <c r="D9" s="28" t="s">
        <v>717</v>
      </c>
      <c r="E9" s="29">
        <v>10</v>
      </c>
      <c r="F9" s="29">
        <v>3</v>
      </c>
      <c r="G9" s="29">
        <f t="shared" si="0"/>
        <v>13</v>
      </c>
    </row>
    <row r="10" spans="1:7" x14ac:dyDescent="0.25">
      <c r="A10" s="25">
        <v>7</v>
      </c>
      <c r="B10" s="64" t="s">
        <v>720</v>
      </c>
      <c r="C10" s="65" t="s">
        <v>720</v>
      </c>
      <c r="D10" s="28" t="s">
        <v>719</v>
      </c>
      <c r="E10" s="29">
        <v>2</v>
      </c>
      <c r="F10" s="29">
        <v>2</v>
      </c>
      <c r="G10" s="29">
        <f t="shared" si="0"/>
        <v>4</v>
      </c>
    </row>
    <row r="11" spans="1:7" x14ac:dyDescent="0.25">
      <c r="A11" s="25">
        <v>8</v>
      </c>
      <c r="B11" s="64" t="s">
        <v>722</v>
      </c>
      <c r="C11" s="65" t="s">
        <v>722</v>
      </c>
      <c r="D11" s="28" t="s">
        <v>721</v>
      </c>
      <c r="E11" s="29">
        <v>5</v>
      </c>
      <c r="F11" s="29">
        <v>11</v>
      </c>
      <c r="G11" s="29">
        <f t="shared" si="0"/>
        <v>16</v>
      </c>
    </row>
    <row r="12" spans="1:7" x14ac:dyDescent="0.25">
      <c r="A12" s="66" t="s">
        <v>71</v>
      </c>
      <c r="B12" s="67"/>
      <c r="C12" s="67"/>
      <c r="D12" s="68"/>
      <c r="E12" s="27">
        <f>SUM(E4:E11)</f>
        <v>53</v>
      </c>
      <c r="F12" s="27">
        <f>SUM(F4:F11)</f>
        <v>42</v>
      </c>
      <c r="G12" s="27">
        <f t="shared" si="0"/>
        <v>95</v>
      </c>
    </row>
  </sheetData>
  <mergeCells count="13">
    <mergeCell ref="A12:D12"/>
    <mergeCell ref="B6:C6"/>
    <mergeCell ref="B7:C7"/>
    <mergeCell ref="B8:C8"/>
    <mergeCell ref="B9:C9"/>
    <mergeCell ref="B10:C10"/>
    <mergeCell ref="B11:C11"/>
    <mergeCell ref="B5:C5"/>
    <mergeCell ref="A2:A3"/>
    <mergeCell ref="B2:C3"/>
    <mergeCell ref="D2:D3"/>
    <mergeCell ref="E2:G2"/>
    <mergeCell ref="B4:C4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E074-5D64-4374-93DB-4E547A7A51A8}">
  <dimension ref="A2:G18"/>
  <sheetViews>
    <sheetView rightToLeft="1" workbookViewId="0">
      <selection activeCell="F22" sqref="F22"/>
    </sheetView>
  </sheetViews>
  <sheetFormatPr baseColWidth="10" defaultRowHeight="15" x14ac:dyDescent="0.25"/>
  <cols>
    <col min="1" max="1" width="6.28515625" customWidth="1"/>
    <col min="4" max="4" width="22" customWidth="1"/>
  </cols>
  <sheetData>
    <row r="2" spans="1:7" ht="23.25" x14ac:dyDescent="0.25">
      <c r="A2" s="51" t="s">
        <v>80</v>
      </c>
      <c r="B2" s="69" t="s">
        <v>81</v>
      </c>
      <c r="C2" s="70"/>
      <c r="D2" s="51" t="s">
        <v>82</v>
      </c>
      <c r="E2" s="48" t="s">
        <v>76</v>
      </c>
      <c r="F2" s="49"/>
      <c r="G2" s="50"/>
    </row>
    <row r="3" spans="1:7" ht="18.75" x14ac:dyDescent="0.25">
      <c r="A3" s="52"/>
      <c r="B3" s="71"/>
      <c r="C3" s="72"/>
      <c r="D3" s="52"/>
      <c r="E3" s="16" t="s">
        <v>77</v>
      </c>
      <c r="F3" s="16" t="s">
        <v>78</v>
      </c>
      <c r="G3" s="16" t="s">
        <v>79</v>
      </c>
    </row>
    <row r="4" spans="1:7" x14ac:dyDescent="0.25">
      <c r="A4" s="25">
        <v>1</v>
      </c>
      <c r="B4" s="64" t="s">
        <v>723</v>
      </c>
      <c r="C4" s="65" t="s">
        <v>723</v>
      </c>
      <c r="D4" s="28" t="s">
        <v>737</v>
      </c>
      <c r="E4" s="29">
        <v>10</v>
      </c>
      <c r="F4" s="29"/>
      <c r="G4" s="29">
        <f t="shared" ref="G4:G18" si="0">SUM(E4:F4)</f>
        <v>10</v>
      </c>
    </row>
    <row r="5" spans="1:7" x14ac:dyDescent="0.25">
      <c r="A5" s="25">
        <v>2</v>
      </c>
      <c r="B5" s="64" t="s">
        <v>724</v>
      </c>
      <c r="C5" s="65" t="s">
        <v>724</v>
      </c>
      <c r="D5" s="28" t="s">
        <v>738</v>
      </c>
      <c r="E5" s="29"/>
      <c r="F5" s="29">
        <v>8</v>
      </c>
      <c r="G5" s="29">
        <f t="shared" si="0"/>
        <v>8</v>
      </c>
    </row>
    <row r="6" spans="1:7" x14ac:dyDescent="0.25">
      <c r="A6" s="25">
        <v>3</v>
      </c>
      <c r="B6" s="64" t="s">
        <v>725</v>
      </c>
      <c r="C6" s="65" t="s">
        <v>725</v>
      </c>
      <c r="D6" s="28" t="s">
        <v>739</v>
      </c>
      <c r="E6" s="29"/>
      <c r="F6" s="29">
        <v>12</v>
      </c>
      <c r="G6" s="29">
        <f t="shared" si="0"/>
        <v>12</v>
      </c>
    </row>
    <row r="7" spans="1:7" x14ac:dyDescent="0.25">
      <c r="A7" s="25">
        <v>4</v>
      </c>
      <c r="B7" s="64" t="s">
        <v>726</v>
      </c>
      <c r="C7" s="65" t="s">
        <v>726</v>
      </c>
      <c r="D7" s="28" t="s">
        <v>740</v>
      </c>
      <c r="E7" s="29">
        <v>7</v>
      </c>
      <c r="F7" s="29"/>
      <c r="G7" s="29">
        <f t="shared" si="0"/>
        <v>7</v>
      </c>
    </row>
    <row r="8" spans="1:7" x14ac:dyDescent="0.25">
      <c r="A8" s="25">
        <v>5</v>
      </c>
      <c r="B8" s="64" t="s">
        <v>727</v>
      </c>
      <c r="C8" s="65" t="s">
        <v>727</v>
      </c>
      <c r="D8" s="28" t="s">
        <v>741</v>
      </c>
      <c r="E8" s="29"/>
      <c r="F8" s="29">
        <v>6</v>
      </c>
      <c r="G8" s="29">
        <f t="shared" si="0"/>
        <v>6</v>
      </c>
    </row>
    <row r="9" spans="1:7" x14ac:dyDescent="0.25">
      <c r="A9" s="25">
        <v>6</v>
      </c>
      <c r="B9" s="64" t="s">
        <v>728</v>
      </c>
      <c r="C9" s="65" t="s">
        <v>728</v>
      </c>
      <c r="D9" s="28" t="s">
        <v>742</v>
      </c>
      <c r="E9" s="29">
        <v>7</v>
      </c>
      <c r="F9" s="29">
        <v>6</v>
      </c>
      <c r="G9" s="29">
        <f t="shared" si="0"/>
        <v>13</v>
      </c>
    </row>
    <row r="10" spans="1:7" x14ac:dyDescent="0.25">
      <c r="A10" s="25">
        <v>7</v>
      </c>
      <c r="B10" s="64" t="s">
        <v>729</v>
      </c>
      <c r="C10" s="65" t="s">
        <v>729</v>
      </c>
      <c r="D10" s="28" t="s">
        <v>743</v>
      </c>
      <c r="E10" s="29">
        <v>2</v>
      </c>
      <c r="F10" s="29">
        <v>2</v>
      </c>
      <c r="G10" s="29">
        <f t="shared" si="0"/>
        <v>4</v>
      </c>
    </row>
    <row r="11" spans="1:7" x14ac:dyDescent="0.25">
      <c r="A11" s="25">
        <v>8</v>
      </c>
      <c r="B11" s="64" t="s">
        <v>730</v>
      </c>
      <c r="C11" s="65" t="s">
        <v>730</v>
      </c>
      <c r="D11" s="28" t="s">
        <v>744</v>
      </c>
      <c r="E11" s="29">
        <v>4</v>
      </c>
      <c r="F11" s="29"/>
      <c r="G11" s="29">
        <f t="shared" si="0"/>
        <v>4</v>
      </c>
    </row>
    <row r="12" spans="1:7" x14ac:dyDescent="0.25">
      <c r="A12" s="25">
        <v>9</v>
      </c>
      <c r="B12" s="64" t="s">
        <v>731</v>
      </c>
      <c r="C12" s="65" t="s">
        <v>731</v>
      </c>
      <c r="D12" s="28" t="s">
        <v>745</v>
      </c>
      <c r="E12" s="29"/>
      <c r="F12" s="29">
        <v>4</v>
      </c>
      <c r="G12" s="29">
        <f t="shared" si="0"/>
        <v>4</v>
      </c>
    </row>
    <row r="13" spans="1:7" x14ac:dyDescent="0.25">
      <c r="A13" s="25">
        <v>10</v>
      </c>
      <c r="B13" s="64" t="s">
        <v>732</v>
      </c>
      <c r="C13" s="65" t="s">
        <v>732</v>
      </c>
      <c r="D13" s="28" t="s">
        <v>746</v>
      </c>
      <c r="E13" s="29">
        <v>7</v>
      </c>
      <c r="F13" s="29">
        <v>4</v>
      </c>
      <c r="G13" s="29">
        <f t="shared" si="0"/>
        <v>11</v>
      </c>
    </row>
    <row r="14" spans="1:7" x14ac:dyDescent="0.25">
      <c r="A14" s="25">
        <v>11</v>
      </c>
      <c r="B14" s="64" t="s">
        <v>733</v>
      </c>
      <c r="C14" s="65" t="s">
        <v>733</v>
      </c>
      <c r="D14" s="28" t="s">
        <v>747</v>
      </c>
      <c r="E14" s="29">
        <v>12</v>
      </c>
      <c r="F14" s="29"/>
      <c r="G14" s="29">
        <f t="shared" si="0"/>
        <v>12</v>
      </c>
    </row>
    <row r="15" spans="1:7" x14ac:dyDescent="0.25">
      <c r="A15" s="25">
        <v>12</v>
      </c>
      <c r="B15" s="64" t="s">
        <v>734</v>
      </c>
      <c r="C15" s="65" t="s">
        <v>734</v>
      </c>
      <c r="D15" s="28" t="s">
        <v>748</v>
      </c>
      <c r="E15" s="29">
        <v>4</v>
      </c>
      <c r="F15" s="29">
        <v>3</v>
      </c>
      <c r="G15" s="29">
        <f t="shared" si="0"/>
        <v>7</v>
      </c>
    </row>
    <row r="16" spans="1:7" x14ac:dyDescent="0.25">
      <c r="A16" s="25">
        <v>13</v>
      </c>
      <c r="B16" s="64" t="s">
        <v>735</v>
      </c>
      <c r="C16" s="65" t="s">
        <v>735</v>
      </c>
      <c r="D16" s="28" t="s">
        <v>749</v>
      </c>
      <c r="E16" s="29">
        <v>2</v>
      </c>
      <c r="F16" s="29">
        <v>1</v>
      </c>
      <c r="G16" s="29">
        <f t="shared" si="0"/>
        <v>3</v>
      </c>
    </row>
    <row r="17" spans="1:7" x14ac:dyDescent="0.25">
      <c r="A17" s="25">
        <v>14</v>
      </c>
      <c r="B17" s="64" t="s">
        <v>736</v>
      </c>
      <c r="C17" s="65" t="s">
        <v>736</v>
      </c>
      <c r="D17" s="28" t="s">
        <v>750</v>
      </c>
      <c r="E17" s="29">
        <v>8</v>
      </c>
      <c r="F17" s="29">
        <v>2</v>
      </c>
      <c r="G17" s="29">
        <f t="shared" si="0"/>
        <v>10</v>
      </c>
    </row>
    <row r="18" spans="1:7" x14ac:dyDescent="0.25">
      <c r="A18" s="66" t="s">
        <v>71</v>
      </c>
      <c r="B18" s="67"/>
      <c r="C18" s="67"/>
      <c r="D18" s="68"/>
      <c r="E18" s="29">
        <f>SUM(E4:E17)</f>
        <v>63</v>
      </c>
      <c r="F18" s="29">
        <f>SUM(F4:F17)</f>
        <v>48</v>
      </c>
      <c r="G18" s="29">
        <f t="shared" si="0"/>
        <v>111</v>
      </c>
    </row>
  </sheetData>
  <mergeCells count="19">
    <mergeCell ref="B17:C17"/>
    <mergeCell ref="A18:D18"/>
    <mergeCell ref="B12:C12"/>
    <mergeCell ref="B13:C13"/>
    <mergeCell ref="B14:C14"/>
    <mergeCell ref="B15:C15"/>
    <mergeCell ref="B16:C16"/>
    <mergeCell ref="B11:C11"/>
    <mergeCell ref="A2:A3"/>
    <mergeCell ref="B2:C3"/>
    <mergeCell ref="D2:D3"/>
    <mergeCell ref="E2:G2"/>
    <mergeCell ref="B4:C4"/>
    <mergeCell ref="B5:C5"/>
    <mergeCell ref="B6:C6"/>
    <mergeCell ref="B7:C7"/>
    <mergeCell ref="B8:C8"/>
    <mergeCell ref="B9:C9"/>
    <mergeCell ref="B10:C10"/>
  </mergeCells>
  <phoneticPr fontId="12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44F9C-DE71-43E0-A0FF-AB789767A2B6}">
  <dimension ref="A2:G11"/>
  <sheetViews>
    <sheetView rightToLeft="1" workbookViewId="0">
      <selection activeCell="E4" sqref="E4:G11"/>
    </sheetView>
  </sheetViews>
  <sheetFormatPr baseColWidth="10" defaultRowHeight="15" x14ac:dyDescent="0.25"/>
  <cols>
    <col min="1" max="1" width="6.28515625" customWidth="1"/>
    <col min="4" max="4" width="22" customWidth="1"/>
  </cols>
  <sheetData>
    <row r="2" spans="1:7" ht="23.25" x14ac:dyDescent="0.25">
      <c r="A2" s="51" t="s">
        <v>80</v>
      </c>
      <c r="B2" s="69" t="s">
        <v>81</v>
      </c>
      <c r="C2" s="70"/>
      <c r="D2" s="51" t="s">
        <v>82</v>
      </c>
      <c r="E2" s="48" t="s">
        <v>76</v>
      </c>
      <c r="F2" s="49"/>
      <c r="G2" s="50"/>
    </row>
    <row r="3" spans="1:7" ht="18.75" x14ac:dyDescent="0.25">
      <c r="A3" s="52"/>
      <c r="B3" s="71"/>
      <c r="C3" s="72"/>
      <c r="D3" s="52"/>
      <c r="E3" s="16" t="s">
        <v>77</v>
      </c>
      <c r="F3" s="16" t="s">
        <v>78</v>
      </c>
      <c r="G3" s="16" t="s">
        <v>79</v>
      </c>
    </row>
    <row r="4" spans="1:7" x14ac:dyDescent="0.25">
      <c r="A4" s="25">
        <v>1</v>
      </c>
      <c r="B4" s="64" t="s">
        <v>751</v>
      </c>
      <c r="C4" s="65" t="s">
        <v>751</v>
      </c>
      <c r="D4" s="28" t="s">
        <v>758</v>
      </c>
      <c r="E4" s="29">
        <v>13</v>
      </c>
      <c r="F4" s="29"/>
      <c r="G4" s="29">
        <f t="shared" ref="G4:G11" si="0">SUM(E4:F4)</f>
        <v>13</v>
      </c>
    </row>
    <row r="5" spans="1:7" x14ac:dyDescent="0.25">
      <c r="A5" s="25">
        <v>2</v>
      </c>
      <c r="B5" s="64" t="s">
        <v>752</v>
      </c>
      <c r="C5" s="65" t="s">
        <v>752</v>
      </c>
      <c r="D5" s="28" t="s">
        <v>759</v>
      </c>
      <c r="E5" s="29"/>
      <c r="F5" s="29">
        <v>9</v>
      </c>
      <c r="G5" s="29">
        <f t="shared" si="0"/>
        <v>9</v>
      </c>
    </row>
    <row r="6" spans="1:7" x14ac:dyDescent="0.25">
      <c r="A6" s="25">
        <v>3</v>
      </c>
      <c r="B6" s="64" t="s">
        <v>753</v>
      </c>
      <c r="C6" s="65" t="s">
        <v>753</v>
      </c>
      <c r="D6" s="28" t="s">
        <v>760</v>
      </c>
      <c r="E6" s="29">
        <v>4</v>
      </c>
      <c r="F6" s="29">
        <v>3</v>
      </c>
      <c r="G6" s="29">
        <f t="shared" si="0"/>
        <v>7</v>
      </c>
    </row>
    <row r="7" spans="1:7" x14ac:dyDescent="0.25">
      <c r="A7" s="25">
        <v>4</v>
      </c>
      <c r="B7" s="64" t="s">
        <v>754</v>
      </c>
      <c r="C7" s="65" t="s">
        <v>754</v>
      </c>
      <c r="D7" s="28" t="s">
        <v>761</v>
      </c>
      <c r="E7" s="29">
        <v>4</v>
      </c>
      <c r="F7" s="29"/>
      <c r="G7" s="29">
        <f t="shared" si="0"/>
        <v>4</v>
      </c>
    </row>
    <row r="8" spans="1:7" x14ac:dyDescent="0.25">
      <c r="A8" s="25">
        <v>5</v>
      </c>
      <c r="B8" s="64" t="s">
        <v>755</v>
      </c>
      <c r="C8" s="65" t="s">
        <v>755</v>
      </c>
      <c r="D8" s="28" t="s">
        <v>761</v>
      </c>
      <c r="E8" s="29"/>
      <c r="F8" s="29">
        <v>3</v>
      </c>
      <c r="G8" s="29">
        <f t="shared" si="0"/>
        <v>3</v>
      </c>
    </row>
    <row r="9" spans="1:7" x14ac:dyDescent="0.25">
      <c r="A9" s="25">
        <v>6</v>
      </c>
      <c r="B9" s="64" t="s">
        <v>756</v>
      </c>
      <c r="C9" s="65" t="s">
        <v>756</v>
      </c>
      <c r="D9" s="28" t="s">
        <v>762</v>
      </c>
      <c r="E9" s="29">
        <v>3</v>
      </c>
      <c r="F9" s="29">
        <v>3</v>
      </c>
      <c r="G9" s="29">
        <f t="shared" si="0"/>
        <v>6</v>
      </c>
    </row>
    <row r="10" spans="1:7" x14ac:dyDescent="0.25">
      <c r="A10" s="25">
        <v>7</v>
      </c>
      <c r="B10" s="64" t="s">
        <v>757</v>
      </c>
      <c r="C10" s="65" t="s">
        <v>757</v>
      </c>
      <c r="D10" s="28" t="s">
        <v>760</v>
      </c>
      <c r="E10" s="29">
        <v>3</v>
      </c>
      <c r="F10" s="29">
        <v>2</v>
      </c>
      <c r="G10" s="29">
        <f t="shared" si="0"/>
        <v>5</v>
      </c>
    </row>
    <row r="11" spans="1:7" x14ac:dyDescent="0.25">
      <c r="A11" s="66" t="s">
        <v>71</v>
      </c>
      <c r="B11" s="67"/>
      <c r="C11" s="67"/>
      <c r="D11" s="68"/>
      <c r="E11" s="29">
        <f>SUM(E4:E10)</f>
        <v>27</v>
      </c>
      <c r="F11" s="29">
        <f>SUM(F4:F10)</f>
        <v>20</v>
      </c>
      <c r="G11" s="29">
        <f t="shared" si="0"/>
        <v>47</v>
      </c>
    </row>
  </sheetData>
  <mergeCells count="12">
    <mergeCell ref="A11:D11"/>
    <mergeCell ref="B6:C6"/>
    <mergeCell ref="B7:C7"/>
    <mergeCell ref="B8:C8"/>
    <mergeCell ref="B9:C9"/>
    <mergeCell ref="B10:C10"/>
    <mergeCell ref="B5:C5"/>
    <mergeCell ref="A2:A3"/>
    <mergeCell ref="B2:C3"/>
    <mergeCell ref="D2:D3"/>
    <mergeCell ref="E2:G2"/>
    <mergeCell ref="B4:C4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6653B-A4CD-4FF1-8F53-8419C9811174}">
  <dimension ref="A2:G15"/>
  <sheetViews>
    <sheetView rightToLeft="1" workbookViewId="0">
      <selection activeCell="D17" sqref="D17"/>
    </sheetView>
  </sheetViews>
  <sheetFormatPr baseColWidth="10" defaultRowHeight="15" x14ac:dyDescent="0.25"/>
  <cols>
    <col min="1" max="1" width="6.28515625" customWidth="1"/>
    <col min="3" max="3" width="13.42578125" customWidth="1"/>
    <col min="4" max="4" width="22" customWidth="1"/>
  </cols>
  <sheetData>
    <row r="2" spans="1:7" ht="23.25" x14ac:dyDescent="0.25">
      <c r="A2" s="51" t="s">
        <v>80</v>
      </c>
      <c r="B2" s="69" t="s">
        <v>81</v>
      </c>
      <c r="C2" s="70"/>
      <c r="D2" s="51" t="s">
        <v>82</v>
      </c>
      <c r="E2" s="48" t="s">
        <v>76</v>
      </c>
      <c r="F2" s="49"/>
      <c r="G2" s="50"/>
    </row>
    <row r="3" spans="1:7" ht="18.75" x14ac:dyDescent="0.25">
      <c r="A3" s="52"/>
      <c r="B3" s="71"/>
      <c r="C3" s="72"/>
      <c r="D3" s="52"/>
      <c r="E3" s="16" t="s">
        <v>77</v>
      </c>
      <c r="F3" s="16" t="s">
        <v>78</v>
      </c>
      <c r="G3" s="16" t="s">
        <v>79</v>
      </c>
    </row>
    <row r="4" spans="1:7" x14ac:dyDescent="0.25">
      <c r="A4" s="25">
        <v>1</v>
      </c>
      <c r="B4" s="64" t="s">
        <v>763</v>
      </c>
      <c r="C4" s="65" t="s">
        <v>763</v>
      </c>
      <c r="D4" s="28" t="s">
        <v>774</v>
      </c>
      <c r="E4" s="29">
        <v>7</v>
      </c>
      <c r="F4" s="29"/>
      <c r="G4" s="29">
        <f>SUM(E4:F4)</f>
        <v>7</v>
      </c>
    </row>
    <row r="5" spans="1:7" x14ac:dyDescent="0.25">
      <c r="A5" s="25">
        <v>2</v>
      </c>
      <c r="B5" s="64" t="s">
        <v>764</v>
      </c>
      <c r="C5" s="65" t="s">
        <v>764</v>
      </c>
      <c r="D5" s="28" t="s">
        <v>775</v>
      </c>
      <c r="E5" s="29"/>
      <c r="F5" s="29"/>
      <c r="G5" s="29"/>
    </row>
    <row r="6" spans="1:7" x14ac:dyDescent="0.25">
      <c r="A6" s="25">
        <v>3</v>
      </c>
      <c r="B6" s="64" t="s">
        <v>765</v>
      </c>
      <c r="C6" s="65" t="s">
        <v>765</v>
      </c>
      <c r="D6" s="28" t="s">
        <v>774</v>
      </c>
      <c r="E6" s="29">
        <v>8</v>
      </c>
      <c r="F6" s="29">
        <v>4</v>
      </c>
      <c r="G6" s="29">
        <f t="shared" ref="G6:G15" si="0">SUM(E6:F6)</f>
        <v>12</v>
      </c>
    </row>
    <row r="7" spans="1:7" x14ac:dyDescent="0.25">
      <c r="A7" s="25">
        <v>4</v>
      </c>
      <c r="B7" s="64" t="s">
        <v>766</v>
      </c>
      <c r="C7" s="65" t="s">
        <v>766</v>
      </c>
      <c r="D7" s="28" t="s">
        <v>776</v>
      </c>
      <c r="E7" s="29"/>
      <c r="F7" s="29">
        <v>8</v>
      </c>
      <c r="G7" s="29">
        <f t="shared" si="0"/>
        <v>8</v>
      </c>
    </row>
    <row r="8" spans="1:7" x14ac:dyDescent="0.25">
      <c r="A8" s="25">
        <v>5</v>
      </c>
      <c r="B8" s="64" t="s">
        <v>767</v>
      </c>
      <c r="C8" s="65" t="s">
        <v>767</v>
      </c>
      <c r="D8" s="28" t="s">
        <v>777</v>
      </c>
      <c r="E8" s="29">
        <v>9</v>
      </c>
      <c r="F8" s="29"/>
      <c r="G8" s="29">
        <f t="shared" si="0"/>
        <v>9</v>
      </c>
    </row>
    <row r="9" spans="1:7" x14ac:dyDescent="0.25">
      <c r="A9" s="25">
        <v>6</v>
      </c>
      <c r="B9" s="64" t="s">
        <v>768</v>
      </c>
      <c r="C9" s="65" t="s">
        <v>768</v>
      </c>
      <c r="D9" s="28" t="s">
        <v>777</v>
      </c>
      <c r="E9" s="29"/>
      <c r="F9" s="29">
        <v>9</v>
      </c>
      <c r="G9" s="29">
        <f t="shared" si="0"/>
        <v>9</v>
      </c>
    </row>
    <row r="10" spans="1:7" x14ac:dyDescent="0.25">
      <c r="A10" s="25">
        <v>7</v>
      </c>
      <c r="B10" s="64" t="s">
        <v>769</v>
      </c>
      <c r="C10" s="65" t="s">
        <v>769</v>
      </c>
      <c r="D10" s="28" t="s">
        <v>778</v>
      </c>
      <c r="E10" s="29">
        <v>11</v>
      </c>
      <c r="F10" s="29"/>
      <c r="G10" s="29">
        <f t="shared" si="0"/>
        <v>11</v>
      </c>
    </row>
    <row r="11" spans="1:7" x14ac:dyDescent="0.25">
      <c r="A11" s="25">
        <v>8</v>
      </c>
      <c r="B11" s="64" t="s">
        <v>770</v>
      </c>
      <c r="C11" s="65" t="s">
        <v>770</v>
      </c>
      <c r="D11" s="28" t="s">
        <v>779</v>
      </c>
      <c r="E11" s="29"/>
      <c r="F11" s="29">
        <v>10</v>
      </c>
      <c r="G11" s="29">
        <f t="shared" si="0"/>
        <v>10</v>
      </c>
    </row>
    <row r="12" spans="1:7" x14ac:dyDescent="0.25">
      <c r="A12" s="25">
        <v>9</v>
      </c>
      <c r="B12" s="64" t="s">
        <v>771</v>
      </c>
      <c r="C12" s="65" t="s">
        <v>771</v>
      </c>
      <c r="D12" s="28" t="s">
        <v>780</v>
      </c>
      <c r="E12" s="29">
        <v>6</v>
      </c>
      <c r="F12" s="29">
        <v>5</v>
      </c>
      <c r="G12" s="29">
        <f t="shared" si="0"/>
        <v>11</v>
      </c>
    </row>
    <row r="13" spans="1:7" x14ac:dyDescent="0.25">
      <c r="A13" s="25">
        <v>10</v>
      </c>
      <c r="B13" s="64" t="s">
        <v>772</v>
      </c>
      <c r="C13" s="65" t="s">
        <v>772</v>
      </c>
      <c r="D13" s="28" t="s">
        <v>781</v>
      </c>
      <c r="E13" s="29">
        <v>12</v>
      </c>
      <c r="F13" s="29"/>
      <c r="G13" s="29">
        <f t="shared" si="0"/>
        <v>12</v>
      </c>
    </row>
    <row r="14" spans="1:7" x14ac:dyDescent="0.25">
      <c r="A14" s="25">
        <v>11</v>
      </c>
      <c r="B14" s="64" t="s">
        <v>773</v>
      </c>
      <c r="C14" s="65" t="s">
        <v>773</v>
      </c>
      <c r="D14" s="28" t="s">
        <v>781</v>
      </c>
      <c r="E14" s="29"/>
      <c r="F14" s="29">
        <v>11</v>
      </c>
      <c r="G14" s="29">
        <f t="shared" si="0"/>
        <v>11</v>
      </c>
    </row>
    <row r="15" spans="1:7" x14ac:dyDescent="0.25">
      <c r="A15" s="66" t="s">
        <v>71</v>
      </c>
      <c r="B15" s="67"/>
      <c r="C15" s="67"/>
      <c r="D15" s="68"/>
      <c r="E15" s="29">
        <f>SUM(E4:E14)</f>
        <v>53</v>
      </c>
      <c r="F15" s="29">
        <f>SUM(F4:F14)</f>
        <v>47</v>
      </c>
      <c r="G15" s="29">
        <f t="shared" si="0"/>
        <v>100</v>
      </c>
    </row>
  </sheetData>
  <mergeCells count="16">
    <mergeCell ref="B11:C11"/>
    <mergeCell ref="B12:C12"/>
    <mergeCell ref="B13:C13"/>
    <mergeCell ref="B14:C14"/>
    <mergeCell ref="A15:D15"/>
    <mergeCell ref="B6:C6"/>
    <mergeCell ref="B7:C7"/>
    <mergeCell ref="B8:C8"/>
    <mergeCell ref="B9:C9"/>
    <mergeCell ref="B10:C10"/>
    <mergeCell ref="B5:C5"/>
    <mergeCell ref="A2:A3"/>
    <mergeCell ref="B2:C3"/>
    <mergeCell ref="D2:D3"/>
    <mergeCell ref="E2:G2"/>
    <mergeCell ref="B4:C4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D87D2-9C18-4B4F-8C9E-38C209E9FDBB}">
  <dimension ref="A2:G19"/>
  <sheetViews>
    <sheetView rightToLeft="1" workbookViewId="0">
      <selection activeCell="F22" sqref="F22"/>
    </sheetView>
  </sheetViews>
  <sheetFormatPr baseColWidth="10" defaultRowHeight="15" x14ac:dyDescent="0.25"/>
  <cols>
    <col min="1" max="1" width="6.28515625" customWidth="1"/>
    <col min="3" max="3" width="13.42578125" customWidth="1"/>
    <col min="4" max="4" width="22" customWidth="1"/>
  </cols>
  <sheetData>
    <row r="2" spans="1:7" ht="23.25" x14ac:dyDescent="0.25">
      <c r="A2" s="51" t="s">
        <v>80</v>
      </c>
      <c r="B2" s="69" t="s">
        <v>81</v>
      </c>
      <c r="C2" s="70"/>
      <c r="D2" s="51" t="s">
        <v>82</v>
      </c>
      <c r="E2" s="48" t="s">
        <v>76</v>
      </c>
      <c r="F2" s="49"/>
      <c r="G2" s="50"/>
    </row>
    <row r="3" spans="1:7" ht="18.75" x14ac:dyDescent="0.25">
      <c r="A3" s="52"/>
      <c r="B3" s="71"/>
      <c r="C3" s="72"/>
      <c r="D3" s="52"/>
      <c r="E3" s="16" t="s">
        <v>77</v>
      </c>
      <c r="F3" s="16" t="s">
        <v>78</v>
      </c>
      <c r="G3" s="16" t="s">
        <v>79</v>
      </c>
    </row>
    <row r="4" spans="1:7" x14ac:dyDescent="0.25">
      <c r="A4" s="25">
        <v>1</v>
      </c>
      <c r="B4" s="64" t="s">
        <v>782</v>
      </c>
      <c r="C4" s="65" t="s">
        <v>782</v>
      </c>
      <c r="D4" s="28" t="s">
        <v>797</v>
      </c>
      <c r="E4" s="29">
        <v>10</v>
      </c>
      <c r="F4" s="29"/>
      <c r="G4" s="29">
        <f t="shared" ref="G4:G19" si="0">SUM(E4:F4)</f>
        <v>10</v>
      </c>
    </row>
    <row r="5" spans="1:7" x14ac:dyDescent="0.25">
      <c r="A5" s="25">
        <v>2</v>
      </c>
      <c r="B5" s="64" t="s">
        <v>783</v>
      </c>
      <c r="C5" s="65" t="s">
        <v>783</v>
      </c>
      <c r="D5" s="28" t="s">
        <v>797</v>
      </c>
      <c r="E5" s="29"/>
      <c r="F5" s="29">
        <v>7</v>
      </c>
      <c r="G5" s="29">
        <f t="shared" si="0"/>
        <v>7</v>
      </c>
    </row>
    <row r="6" spans="1:7" x14ac:dyDescent="0.25">
      <c r="A6" s="25">
        <v>3</v>
      </c>
      <c r="B6" s="64" t="s">
        <v>784</v>
      </c>
      <c r="C6" s="65" t="s">
        <v>784</v>
      </c>
      <c r="D6" s="28" t="s">
        <v>798</v>
      </c>
      <c r="E6" s="29">
        <v>5</v>
      </c>
      <c r="F6" s="29"/>
      <c r="G6" s="29">
        <f t="shared" si="0"/>
        <v>5</v>
      </c>
    </row>
    <row r="7" spans="1:7" x14ac:dyDescent="0.25">
      <c r="A7" s="25">
        <v>4</v>
      </c>
      <c r="B7" s="64" t="s">
        <v>785</v>
      </c>
      <c r="C7" s="65" t="s">
        <v>785</v>
      </c>
      <c r="D7" s="28" t="s">
        <v>798</v>
      </c>
      <c r="E7" s="29"/>
      <c r="F7" s="29">
        <v>4</v>
      </c>
      <c r="G7" s="29">
        <f t="shared" si="0"/>
        <v>4</v>
      </c>
    </row>
    <row r="8" spans="1:7" x14ac:dyDescent="0.25">
      <c r="A8" s="25">
        <v>5</v>
      </c>
      <c r="B8" s="64" t="s">
        <v>786</v>
      </c>
      <c r="C8" s="65" t="s">
        <v>786</v>
      </c>
      <c r="D8" s="28" t="s">
        <v>799</v>
      </c>
      <c r="E8" s="29">
        <v>7</v>
      </c>
      <c r="F8" s="29"/>
      <c r="G8" s="29">
        <f t="shared" si="0"/>
        <v>7</v>
      </c>
    </row>
    <row r="9" spans="1:7" x14ac:dyDescent="0.25">
      <c r="A9" s="25">
        <v>6</v>
      </c>
      <c r="B9" s="64" t="s">
        <v>787</v>
      </c>
      <c r="C9" s="65" t="s">
        <v>787</v>
      </c>
      <c r="D9" s="28" t="s">
        <v>799</v>
      </c>
      <c r="E9" s="29"/>
      <c r="F9" s="29">
        <v>6</v>
      </c>
      <c r="G9" s="29">
        <f t="shared" si="0"/>
        <v>6</v>
      </c>
    </row>
    <row r="10" spans="1:7" x14ac:dyDescent="0.25">
      <c r="A10" s="25">
        <v>7</v>
      </c>
      <c r="B10" s="64" t="s">
        <v>788</v>
      </c>
      <c r="C10" s="65" t="s">
        <v>788</v>
      </c>
      <c r="D10" s="28" t="s">
        <v>800</v>
      </c>
      <c r="E10" s="29">
        <v>12</v>
      </c>
      <c r="F10" s="29"/>
      <c r="G10" s="29">
        <f t="shared" si="0"/>
        <v>12</v>
      </c>
    </row>
    <row r="11" spans="1:7" x14ac:dyDescent="0.25">
      <c r="A11" s="25">
        <v>8</v>
      </c>
      <c r="B11" s="64" t="s">
        <v>789</v>
      </c>
      <c r="C11" s="65" t="s">
        <v>789</v>
      </c>
      <c r="D11" s="28" t="s">
        <v>800</v>
      </c>
      <c r="E11" s="29"/>
      <c r="F11" s="29">
        <v>11</v>
      </c>
      <c r="G11" s="29">
        <f t="shared" si="0"/>
        <v>11</v>
      </c>
    </row>
    <row r="12" spans="1:7" x14ac:dyDescent="0.25">
      <c r="A12" s="25">
        <v>9</v>
      </c>
      <c r="B12" s="64" t="s">
        <v>790</v>
      </c>
      <c r="C12" s="65" t="s">
        <v>790</v>
      </c>
      <c r="D12" s="28" t="s">
        <v>801</v>
      </c>
      <c r="E12" s="29">
        <v>9</v>
      </c>
      <c r="F12" s="29"/>
      <c r="G12" s="29">
        <f t="shared" si="0"/>
        <v>9</v>
      </c>
    </row>
    <row r="13" spans="1:7" x14ac:dyDescent="0.25">
      <c r="A13" s="25">
        <v>10</v>
      </c>
      <c r="B13" s="64" t="s">
        <v>791</v>
      </c>
      <c r="C13" s="65" t="s">
        <v>791</v>
      </c>
      <c r="D13" s="28" t="s">
        <v>801</v>
      </c>
      <c r="E13" s="29"/>
      <c r="F13" s="29">
        <v>7</v>
      </c>
      <c r="G13" s="29">
        <f t="shared" si="0"/>
        <v>7</v>
      </c>
    </row>
    <row r="14" spans="1:7" x14ac:dyDescent="0.25">
      <c r="A14" s="25">
        <v>11</v>
      </c>
      <c r="B14" s="66" t="s">
        <v>792</v>
      </c>
      <c r="C14" s="68" t="s">
        <v>792</v>
      </c>
      <c r="D14" s="28" t="s">
        <v>802</v>
      </c>
      <c r="E14" s="29">
        <v>7</v>
      </c>
      <c r="F14" s="29"/>
      <c r="G14" s="29">
        <f t="shared" si="0"/>
        <v>7</v>
      </c>
    </row>
    <row r="15" spans="1:7" x14ac:dyDescent="0.25">
      <c r="A15" s="25">
        <v>12</v>
      </c>
      <c r="B15" s="66" t="s">
        <v>793</v>
      </c>
      <c r="C15" s="68" t="s">
        <v>793</v>
      </c>
      <c r="D15" s="28" t="s">
        <v>802</v>
      </c>
      <c r="E15" s="29"/>
      <c r="F15" s="29">
        <v>5</v>
      </c>
      <c r="G15" s="29">
        <f t="shared" si="0"/>
        <v>5</v>
      </c>
    </row>
    <row r="16" spans="1:7" x14ac:dyDescent="0.25">
      <c r="A16" s="25">
        <v>13</v>
      </c>
      <c r="B16" s="66" t="s">
        <v>794</v>
      </c>
      <c r="C16" s="68" t="s">
        <v>794</v>
      </c>
      <c r="D16" s="28" t="s">
        <v>803</v>
      </c>
      <c r="E16" s="29">
        <v>5</v>
      </c>
      <c r="F16" s="29"/>
      <c r="G16" s="29">
        <f t="shared" si="0"/>
        <v>5</v>
      </c>
    </row>
    <row r="17" spans="1:7" x14ac:dyDescent="0.25">
      <c r="A17" s="25">
        <v>14</v>
      </c>
      <c r="B17" s="66" t="s">
        <v>795</v>
      </c>
      <c r="C17" s="68" t="s">
        <v>795</v>
      </c>
      <c r="D17" s="28" t="s">
        <v>803</v>
      </c>
      <c r="E17" s="29"/>
      <c r="F17" s="29">
        <v>5</v>
      </c>
      <c r="G17" s="29">
        <f t="shared" si="0"/>
        <v>5</v>
      </c>
    </row>
    <row r="18" spans="1:7" x14ac:dyDescent="0.25">
      <c r="A18" s="25">
        <v>15</v>
      </c>
      <c r="B18" s="64" t="s">
        <v>796</v>
      </c>
      <c r="C18" s="65" t="s">
        <v>796</v>
      </c>
      <c r="D18" s="28" t="s">
        <v>804</v>
      </c>
      <c r="E18" s="29">
        <v>4</v>
      </c>
      <c r="F18" s="29">
        <v>3</v>
      </c>
      <c r="G18" s="29">
        <f t="shared" si="0"/>
        <v>7</v>
      </c>
    </row>
    <row r="19" spans="1:7" x14ac:dyDescent="0.25">
      <c r="A19" s="66" t="s">
        <v>71</v>
      </c>
      <c r="B19" s="67"/>
      <c r="C19" s="67"/>
      <c r="D19" s="68"/>
      <c r="E19" s="29">
        <f>SUM(E4:E18)</f>
        <v>59</v>
      </c>
      <c r="F19" s="29">
        <f>SUM(F4:F18)</f>
        <v>48</v>
      </c>
      <c r="G19" s="29">
        <f t="shared" si="0"/>
        <v>107</v>
      </c>
    </row>
  </sheetData>
  <mergeCells count="20">
    <mergeCell ref="B12:C12"/>
    <mergeCell ref="B13:C13"/>
    <mergeCell ref="B18:C18"/>
    <mergeCell ref="A19:D19"/>
    <mergeCell ref="B14:C14"/>
    <mergeCell ref="B15:C15"/>
    <mergeCell ref="B16:C16"/>
    <mergeCell ref="B17:C17"/>
    <mergeCell ref="B11:C11"/>
    <mergeCell ref="A2:A3"/>
    <mergeCell ref="B2:C3"/>
    <mergeCell ref="D2:D3"/>
    <mergeCell ref="E2:G2"/>
    <mergeCell ref="B4:C4"/>
    <mergeCell ref="B5:C5"/>
    <mergeCell ref="B6:C6"/>
    <mergeCell ref="B7:C7"/>
    <mergeCell ref="B8:C8"/>
    <mergeCell ref="B9:C9"/>
    <mergeCell ref="B10:C10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6FBE9-4E80-486D-92D4-B0425F462C8B}">
  <dimension ref="A2:G23"/>
  <sheetViews>
    <sheetView rightToLeft="1" workbookViewId="0">
      <selection activeCell="E4" sqref="E4:G23"/>
    </sheetView>
  </sheetViews>
  <sheetFormatPr baseColWidth="10" defaultRowHeight="15" x14ac:dyDescent="0.25"/>
  <cols>
    <col min="1" max="1" width="6.28515625" customWidth="1"/>
    <col min="3" max="3" width="13.42578125" customWidth="1"/>
    <col min="4" max="4" width="22" customWidth="1"/>
  </cols>
  <sheetData>
    <row r="2" spans="1:7" ht="23.25" x14ac:dyDescent="0.25">
      <c r="A2" s="51" t="s">
        <v>80</v>
      </c>
      <c r="B2" s="69" t="s">
        <v>81</v>
      </c>
      <c r="C2" s="70"/>
      <c r="D2" s="51" t="s">
        <v>82</v>
      </c>
      <c r="E2" s="48" t="s">
        <v>76</v>
      </c>
      <c r="F2" s="49"/>
      <c r="G2" s="50"/>
    </row>
    <row r="3" spans="1:7" ht="18.75" x14ac:dyDescent="0.25">
      <c r="A3" s="52"/>
      <c r="B3" s="71"/>
      <c r="C3" s="72"/>
      <c r="D3" s="52"/>
      <c r="E3" s="16" t="s">
        <v>77</v>
      </c>
      <c r="F3" s="16" t="s">
        <v>78</v>
      </c>
      <c r="G3" s="16" t="s">
        <v>79</v>
      </c>
    </row>
    <row r="4" spans="1:7" x14ac:dyDescent="0.25">
      <c r="A4" s="25">
        <v>1</v>
      </c>
      <c r="B4" s="78" t="s">
        <v>805</v>
      </c>
      <c r="C4" s="79" t="s">
        <v>805</v>
      </c>
      <c r="D4" s="28" t="s">
        <v>824</v>
      </c>
      <c r="E4" s="29">
        <v>13</v>
      </c>
      <c r="F4" s="29"/>
      <c r="G4" s="29">
        <f t="shared" ref="G4:G23" si="0">SUM(E4:F4)</f>
        <v>13</v>
      </c>
    </row>
    <row r="5" spans="1:7" x14ac:dyDescent="0.25">
      <c r="A5" s="25">
        <v>2</v>
      </c>
      <c r="B5" s="78" t="s">
        <v>806</v>
      </c>
      <c r="C5" s="79" t="s">
        <v>806</v>
      </c>
      <c r="D5" s="28" t="s">
        <v>825</v>
      </c>
      <c r="E5" s="29"/>
      <c r="F5" s="29">
        <v>10</v>
      </c>
      <c r="G5" s="29">
        <f t="shared" si="0"/>
        <v>10</v>
      </c>
    </row>
    <row r="6" spans="1:7" x14ac:dyDescent="0.25">
      <c r="A6" s="25">
        <v>3</v>
      </c>
      <c r="B6" s="78" t="s">
        <v>807</v>
      </c>
      <c r="C6" s="79" t="s">
        <v>807</v>
      </c>
      <c r="D6" s="28" t="s">
        <v>826</v>
      </c>
      <c r="E6" s="29">
        <v>2</v>
      </c>
      <c r="F6" s="29">
        <v>3</v>
      </c>
      <c r="G6" s="29">
        <f t="shared" si="0"/>
        <v>5</v>
      </c>
    </row>
    <row r="7" spans="1:7" x14ac:dyDescent="0.25">
      <c r="A7" s="25">
        <v>4</v>
      </c>
      <c r="B7" s="78" t="s">
        <v>808</v>
      </c>
      <c r="C7" s="79" t="s">
        <v>808</v>
      </c>
      <c r="D7" s="28" t="s">
        <v>827</v>
      </c>
      <c r="E7" s="29">
        <v>8</v>
      </c>
      <c r="F7" s="29">
        <v>10</v>
      </c>
      <c r="G7" s="29">
        <f t="shared" si="0"/>
        <v>18</v>
      </c>
    </row>
    <row r="8" spans="1:7" x14ac:dyDescent="0.25">
      <c r="A8" s="25">
        <v>5</v>
      </c>
      <c r="B8" s="78" t="s">
        <v>809</v>
      </c>
      <c r="C8" s="79" t="s">
        <v>809</v>
      </c>
      <c r="D8" s="28" t="s">
        <v>828</v>
      </c>
      <c r="E8" s="29">
        <v>7</v>
      </c>
      <c r="F8" s="29"/>
      <c r="G8" s="29">
        <f t="shared" si="0"/>
        <v>7</v>
      </c>
    </row>
    <row r="9" spans="1:7" x14ac:dyDescent="0.25">
      <c r="A9" s="25">
        <v>6</v>
      </c>
      <c r="B9" s="78" t="s">
        <v>810</v>
      </c>
      <c r="C9" s="79" t="s">
        <v>810</v>
      </c>
      <c r="D9" s="28" t="s">
        <v>828</v>
      </c>
      <c r="E9" s="29"/>
      <c r="F9" s="29">
        <v>7</v>
      </c>
      <c r="G9" s="29">
        <f t="shared" si="0"/>
        <v>7</v>
      </c>
    </row>
    <row r="10" spans="1:7" x14ac:dyDescent="0.25">
      <c r="A10" s="25">
        <v>7</v>
      </c>
      <c r="B10" s="78" t="s">
        <v>811</v>
      </c>
      <c r="C10" s="79" t="s">
        <v>811</v>
      </c>
      <c r="D10" s="28" t="s">
        <v>829</v>
      </c>
      <c r="E10" s="29">
        <v>8</v>
      </c>
      <c r="F10" s="29">
        <v>7</v>
      </c>
      <c r="G10" s="29">
        <f t="shared" si="0"/>
        <v>15</v>
      </c>
    </row>
    <row r="11" spans="1:7" x14ac:dyDescent="0.25">
      <c r="A11" s="25">
        <v>8</v>
      </c>
      <c r="B11" s="78" t="s">
        <v>812</v>
      </c>
      <c r="C11" s="79" t="s">
        <v>812</v>
      </c>
      <c r="D11" s="28" t="s">
        <v>830</v>
      </c>
      <c r="E11" s="29">
        <v>8</v>
      </c>
      <c r="F11" s="29">
        <v>6</v>
      </c>
      <c r="G11" s="29">
        <f t="shared" si="0"/>
        <v>14</v>
      </c>
    </row>
    <row r="12" spans="1:7" x14ac:dyDescent="0.25">
      <c r="A12" s="25">
        <v>9</v>
      </c>
      <c r="B12" s="78" t="s">
        <v>813</v>
      </c>
      <c r="C12" s="79" t="s">
        <v>813</v>
      </c>
      <c r="D12" s="28" t="s">
        <v>831</v>
      </c>
      <c r="E12" s="29">
        <v>10</v>
      </c>
      <c r="F12" s="29"/>
      <c r="G12" s="29">
        <f t="shared" si="0"/>
        <v>10</v>
      </c>
    </row>
    <row r="13" spans="1:7" x14ac:dyDescent="0.25">
      <c r="A13" s="25">
        <v>10</v>
      </c>
      <c r="B13" s="78" t="s">
        <v>814</v>
      </c>
      <c r="C13" s="79" t="s">
        <v>814</v>
      </c>
      <c r="D13" s="28" t="s">
        <v>832</v>
      </c>
      <c r="E13" s="29">
        <v>3</v>
      </c>
      <c r="F13" s="29">
        <v>2</v>
      </c>
      <c r="G13" s="29">
        <f t="shared" si="0"/>
        <v>5</v>
      </c>
    </row>
    <row r="14" spans="1:7" x14ac:dyDescent="0.25">
      <c r="A14" s="25">
        <v>11</v>
      </c>
      <c r="B14" s="78" t="s">
        <v>815</v>
      </c>
      <c r="C14" s="79" t="s">
        <v>815</v>
      </c>
      <c r="D14" s="28" t="s">
        <v>833</v>
      </c>
      <c r="E14" s="29">
        <v>6</v>
      </c>
      <c r="F14" s="29">
        <v>6</v>
      </c>
      <c r="G14" s="29">
        <f t="shared" si="0"/>
        <v>12</v>
      </c>
    </row>
    <row r="15" spans="1:7" x14ac:dyDescent="0.25">
      <c r="A15" s="25">
        <v>12</v>
      </c>
      <c r="B15" s="78" t="s">
        <v>816</v>
      </c>
      <c r="C15" s="79" t="s">
        <v>816</v>
      </c>
      <c r="D15" s="28" t="s">
        <v>834</v>
      </c>
      <c r="E15" s="29">
        <v>9</v>
      </c>
      <c r="F15" s="29">
        <v>6</v>
      </c>
      <c r="G15" s="29">
        <f t="shared" si="0"/>
        <v>15</v>
      </c>
    </row>
    <row r="16" spans="1:7" x14ac:dyDescent="0.25">
      <c r="A16" s="25">
        <v>13</v>
      </c>
      <c r="B16" s="78" t="s">
        <v>817</v>
      </c>
      <c r="C16" s="79" t="s">
        <v>817</v>
      </c>
      <c r="D16" s="28" t="s">
        <v>834</v>
      </c>
      <c r="E16" s="29">
        <v>7</v>
      </c>
      <c r="F16" s="29">
        <v>5</v>
      </c>
      <c r="G16" s="29">
        <f t="shared" si="0"/>
        <v>12</v>
      </c>
    </row>
    <row r="17" spans="1:7" x14ac:dyDescent="0.25">
      <c r="A17" s="25">
        <v>14</v>
      </c>
      <c r="B17" s="78" t="s">
        <v>818</v>
      </c>
      <c r="C17" s="79" t="s">
        <v>818</v>
      </c>
      <c r="D17" s="28" t="s">
        <v>835</v>
      </c>
      <c r="E17" s="29">
        <v>4</v>
      </c>
      <c r="F17" s="29">
        <v>4</v>
      </c>
      <c r="G17" s="29">
        <f t="shared" si="0"/>
        <v>8</v>
      </c>
    </row>
    <row r="18" spans="1:7" x14ac:dyDescent="0.25">
      <c r="A18" s="25">
        <v>15</v>
      </c>
      <c r="B18" s="78" t="s">
        <v>819</v>
      </c>
      <c r="C18" s="79" t="s">
        <v>819</v>
      </c>
      <c r="D18" s="28" t="s">
        <v>836</v>
      </c>
      <c r="E18" s="29">
        <v>6</v>
      </c>
      <c r="F18" s="29">
        <v>8</v>
      </c>
      <c r="G18" s="29">
        <f t="shared" si="0"/>
        <v>14</v>
      </c>
    </row>
    <row r="19" spans="1:7" x14ac:dyDescent="0.25">
      <c r="A19" s="25">
        <v>16</v>
      </c>
      <c r="B19" s="78" t="s">
        <v>820</v>
      </c>
      <c r="C19" s="79" t="s">
        <v>820</v>
      </c>
      <c r="D19" s="28" t="s">
        <v>836</v>
      </c>
      <c r="E19" s="29">
        <v>6</v>
      </c>
      <c r="F19" s="29">
        <v>3</v>
      </c>
      <c r="G19" s="29">
        <f t="shared" si="0"/>
        <v>9</v>
      </c>
    </row>
    <row r="20" spans="1:7" x14ac:dyDescent="0.25">
      <c r="A20" s="25">
        <v>17</v>
      </c>
      <c r="B20" s="78" t="s">
        <v>821</v>
      </c>
      <c r="C20" s="79" t="s">
        <v>821</v>
      </c>
      <c r="D20" s="28" t="s">
        <v>837</v>
      </c>
      <c r="E20" s="29"/>
      <c r="F20" s="29">
        <v>9</v>
      </c>
      <c r="G20" s="29">
        <f t="shared" si="0"/>
        <v>9</v>
      </c>
    </row>
    <row r="21" spans="1:7" x14ac:dyDescent="0.25">
      <c r="A21" s="25">
        <v>18</v>
      </c>
      <c r="B21" s="78" t="s">
        <v>822</v>
      </c>
      <c r="C21" s="79" t="s">
        <v>822</v>
      </c>
      <c r="D21" s="28" t="s">
        <v>838</v>
      </c>
      <c r="E21" s="29">
        <v>8</v>
      </c>
      <c r="F21" s="29">
        <v>1</v>
      </c>
      <c r="G21" s="29">
        <f t="shared" si="0"/>
        <v>9</v>
      </c>
    </row>
    <row r="22" spans="1:7" x14ac:dyDescent="0.25">
      <c r="A22" s="25">
        <v>19</v>
      </c>
      <c r="B22" s="78" t="s">
        <v>823</v>
      </c>
      <c r="C22" s="79" t="s">
        <v>823</v>
      </c>
      <c r="D22" s="28" t="s">
        <v>839</v>
      </c>
      <c r="E22" s="29">
        <v>3</v>
      </c>
      <c r="F22" s="29"/>
      <c r="G22" s="29">
        <f t="shared" si="0"/>
        <v>3</v>
      </c>
    </row>
    <row r="23" spans="1:7" x14ac:dyDescent="0.25">
      <c r="A23" s="66" t="s">
        <v>71</v>
      </c>
      <c r="B23" s="67"/>
      <c r="C23" s="67"/>
      <c r="D23" s="68"/>
      <c r="E23" s="29">
        <f>SUM(E4:E22)</f>
        <v>108</v>
      </c>
      <c r="F23" s="29">
        <f>SUM(F4:F22)</f>
        <v>87</v>
      </c>
      <c r="G23" s="29">
        <f t="shared" si="0"/>
        <v>195</v>
      </c>
    </row>
  </sheetData>
  <mergeCells count="24">
    <mergeCell ref="B22:C22"/>
    <mergeCell ref="A23:D23"/>
    <mergeCell ref="B18:C18"/>
    <mergeCell ref="B19:C19"/>
    <mergeCell ref="B20:C20"/>
    <mergeCell ref="B21:C21"/>
    <mergeCell ref="B17:C17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5:C5"/>
    <mergeCell ref="A2:A3"/>
    <mergeCell ref="B2:C3"/>
    <mergeCell ref="D2:D3"/>
    <mergeCell ref="E2:G2"/>
    <mergeCell ref="B4:C4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EA821-6677-4191-A6AE-24304C2C9626}">
  <dimension ref="A2:G10"/>
  <sheetViews>
    <sheetView rightToLeft="1" workbookViewId="0">
      <selection activeCell="E4" sqref="E4:G10"/>
    </sheetView>
  </sheetViews>
  <sheetFormatPr baseColWidth="10" defaultRowHeight="15" x14ac:dyDescent="0.25"/>
  <cols>
    <col min="1" max="1" width="6.28515625" customWidth="1"/>
    <col min="3" max="3" width="13.42578125" customWidth="1"/>
    <col min="4" max="4" width="22" customWidth="1"/>
  </cols>
  <sheetData>
    <row r="2" spans="1:7" ht="23.25" x14ac:dyDescent="0.25">
      <c r="A2" s="51" t="s">
        <v>80</v>
      </c>
      <c r="B2" s="69" t="s">
        <v>81</v>
      </c>
      <c r="C2" s="70"/>
      <c r="D2" s="51" t="s">
        <v>82</v>
      </c>
      <c r="E2" s="48" t="s">
        <v>76</v>
      </c>
      <c r="F2" s="49"/>
      <c r="G2" s="50"/>
    </row>
    <row r="3" spans="1:7" ht="18.75" x14ac:dyDescent="0.25">
      <c r="A3" s="52"/>
      <c r="B3" s="71"/>
      <c r="C3" s="72"/>
      <c r="D3" s="52"/>
      <c r="E3" s="16" t="s">
        <v>77</v>
      </c>
      <c r="F3" s="16" t="s">
        <v>78</v>
      </c>
      <c r="G3" s="16" t="s">
        <v>79</v>
      </c>
    </row>
    <row r="4" spans="1:7" x14ac:dyDescent="0.25">
      <c r="A4" s="25">
        <v>1</v>
      </c>
      <c r="B4" s="78" t="s">
        <v>840</v>
      </c>
      <c r="C4" s="79" t="s">
        <v>840</v>
      </c>
      <c r="D4" s="28" t="s">
        <v>846</v>
      </c>
      <c r="E4" s="29">
        <v>5</v>
      </c>
      <c r="F4" s="29"/>
      <c r="G4" s="29">
        <f t="shared" ref="G4:G10" si="0">SUM(E4:F4)</f>
        <v>5</v>
      </c>
    </row>
    <row r="5" spans="1:7" x14ac:dyDescent="0.25">
      <c r="A5" s="25">
        <v>2</v>
      </c>
      <c r="B5" s="78" t="s">
        <v>841</v>
      </c>
      <c r="C5" s="79" t="s">
        <v>841</v>
      </c>
      <c r="D5" s="28" t="s">
        <v>847</v>
      </c>
      <c r="E5" s="29">
        <v>10</v>
      </c>
      <c r="F5" s="29"/>
      <c r="G5" s="29">
        <f t="shared" si="0"/>
        <v>10</v>
      </c>
    </row>
    <row r="6" spans="1:7" x14ac:dyDescent="0.25">
      <c r="A6" s="25">
        <v>3</v>
      </c>
      <c r="B6" s="78" t="s">
        <v>842</v>
      </c>
      <c r="C6" s="79" t="s">
        <v>842</v>
      </c>
      <c r="D6" s="28" t="s">
        <v>848</v>
      </c>
      <c r="E6" s="29"/>
      <c r="F6" s="29">
        <v>10</v>
      </c>
      <c r="G6" s="29">
        <f t="shared" si="0"/>
        <v>10</v>
      </c>
    </row>
    <row r="7" spans="1:7" x14ac:dyDescent="0.25">
      <c r="A7" s="25">
        <v>4</v>
      </c>
      <c r="B7" s="78" t="s">
        <v>843</v>
      </c>
      <c r="C7" s="79" t="s">
        <v>843</v>
      </c>
      <c r="D7" s="28" t="s">
        <v>848</v>
      </c>
      <c r="E7" s="29">
        <v>5</v>
      </c>
      <c r="F7" s="29">
        <v>4</v>
      </c>
      <c r="G7" s="29">
        <f t="shared" si="0"/>
        <v>9</v>
      </c>
    </row>
    <row r="8" spans="1:7" x14ac:dyDescent="0.25">
      <c r="A8" s="25">
        <v>5</v>
      </c>
      <c r="B8" s="78" t="s">
        <v>844</v>
      </c>
      <c r="C8" s="79" t="s">
        <v>844</v>
      </c>
      <c r="D8" s="28" t="s">
        <v>846</v>
      </c>
      <c r="E8" s="29"/>
      <c r="F8" s="29">
        <v>5</v>
      </c>
      <c r="G8" s="29">
        <f t="shared" si="0"/>
        <v>5</v>
      </c>
    </row>
    <row r="9" spans="1:7" x14ac:dyDescent="0.25">
      <c r="A9" s="25">
        <v>6</v>
      </c>
      <c r="B9" s="78" t="s">
        <v>845</v>
      </c>
      <c r="C9" s="79" t="s">
        <v>845</v>
      </c>
      <c r="D9" s="28" t="s">
        <v>849</v>
      </c>
      <c r="E9" s="29">
        <v>7</v>
      </c>
      <c r="F9" s="29">
        <v>6</v>
      </c>
      <c r="G9" s="29">
        <f t="shared" si="0"/>
        <v>13</v>
      </c>
    </row>
    <row r="10" spans="1:7" x14ac:dyDescent="0.25">
      <c r="A10" s="66" t="s">
        <v>71</v>
      </c>
      <c r="B10" s="67"/>
      <c r="C10" s="67"/>
      <c r="D10" s="68"/>
      <c r="E10" s="29">
        <f>SUM(E4:E9)</f>
        <v>27</v>
      </c>
      <c r="F10" s="29">
        <f>SUM(F4:F9)</f>
        <v>25</v>
      </c>
      <c r="G10" s="29">
        <f t="shared" si="0"/>
        <v>52</v>
      </c>
    </row>
  </sheetData>
  <mergeCells count="11">
    <mergeCell ref="A10:D10"/>
    <mergeCell ref="B6:C6"/>
    <mergeCell ref="B7:C7"/>
    <mergeCell ref="B8:C8"/>
    <mergeCell ref="B9:C9"/>
    <mergeCell ref="B5:C5"/>
    <mergeCell ref="A2:A3"/>
    <mergeCell ref="B2:C3"/>
    <mergeCell ref="D2:D3"/>
    <mergeCell ref="E2:G2"/>
    <mergeCell ref="B4:C4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5FA2C-84C2-4E93-A891-4137E559B0C9}">
  <dimension ref="A2:G18"/>
  <sheetViews>
    <sheetView rightToLeft="1" tabSelected="1" workbookViewId="0">
      <selection activeCell="D22" sqref="D22"/>
    </sheetView>
  </sheetViews>
  <sheetFormatPr baseColWidth="10" defaultRowHeight="15" x14ac:dyDescent="0.25"/>
  <cols>
    <col min="1" max="1" width="6.28515625" customWidth="1"/>
    <col min="3" max="3" width="13.42578125" customWidth="1"/>
    <col min="4" max="4" width="22" customWidth="1"/>
  </cols>
  <sheetData>
    <row r="2" spans="1:7" ht="23.25" x14ac:dyDescent="0.25">
      <c r="A2" s="51" t="s">
        <v>80</v>
      </c>
      <c r="B2" s="69" t="s">
        <v>81</v>
      </c>
      <c r="C2" s="70"/>
      <c r="D2" s="51" t="s">
        <v>82</v>
      </c>
      <c r="E2" s="48" t="s">
        <v>76</v>
      </c>
      <c r="F2" s="49"/>
      <c r="G2" s="50"/>
    </row>
    <row r="3" spans="1:7" ht="18.75" x14ac:dyDescent="0.25">
      <c r="A3" s="52"/>
      <c r="B3" s="71"/>
      <c r="C3" s="72"/>
      <c r="D3" s="52"/>
      <c r="E3" s="16" t="s">
        <v>77</v>
      </c>
      <c r="F3" s="16" t="s">
        <v>78</v>
      </c>
      <c r="G3" s="16" t="s">
        <v>79</v>
      </c>
    </row>
    <row r="4" spans="1:7" x14ac:dyDescent="0.25">
      <c r="A4" s="25">
        <v>1</v>
      </c>
      <c r="B4" s="64" t="s">
        <v>850</v>
      </c>
      <c r="C4" s="65" t="s">
        <v>850</v>
      </c>
      <c r="D4" s="28" t="s">
        <v>864</v>
      </c>
      <c r="E4" s="29">
        <v>8</v>
      </c>
      <c r="F4" s="29">
        <v>8</v>
      </c>
      <c r="G4" s="29">
        <f t="shared" ref="G4:G18" si="0">SUM(E4:F4)</f>
        <v>16</v>
      </c>
    </row>
    <row r="5" spans="1:7" x14ac:dyDescent="0.25">
      <c r="A5" s="25">
        <v>2</v>
      </c>
      <c r="B5" s="64" t="s">
        <v>851</v>
      </c>
      <c r="C5" s="65" t="s">
        <v>851</v>
      </c>
      <c r="D5" s="28" t="s">
        <v>865</v>
      </c>
      <c r="E5" s="29">
        <v>13</v>
      </c>
      <c r="F5" s="29">
        <v>4</v>
      </c>
      <c r="G5" s="29">
        <f t="shared" si="0"/>
        <v>17</v>
      </c>
    </row>
    <row r="6" spans="1:7" x14ac:dyDescent="0.25">
      <c r="A6" s="25">
        <v>3</v>
      </c>
      <c r="B6" s="64" t="s">
        <v>852</v>
      </c>
      <c r="C6" s="65" t="s">
        <v>852</v>
      </c>
      <c r="D6" s="28" t="s">
        <v>866</v>
      </c>
      <c r="E6" s="29">
        <v>3</v>
      </c>
      <c r="F6" s="29"/>
      <c r="G6" s="29">
        <f t="shared" si="0"/>
        <v>3</v>
      </c>
    </row>
    <row r="7" spans="1:7" x14ac:dyDescent="0.25">
      <c r="A7" s="25">
        <v>4</v>
      </c>
      <c r="B7" s="64" t="s">
        <v>853</v>
      </c>
      <c r="C7" s="65" t="s">
        <v>853</v>
      </c>
      <c r="D7" s="28" t="s">
        <v>867</v>
      </c>
      <c r="E7" s="29">
        <v>8</v>
      </c>
      <c r="F7" s="29">
        <v>6</v>
      </c>
      <c r="G7" s="29">
        <f t="shared" si="0"/>
        <v>14</v>
      </c>
    </row>
    <row r="8" spans="1:7" x14ac:dyDescent="0.25">
      <c r="A8" s="25">
        <v>5</v>
      </c>
      <c r="B8" s="64" t="s">
        <v>854</v>
      </c>
      <c r="C8" s="65" t="s">
        <v>854</v>
      </c>
      <c r="D8" s="28" t="s">
        <v>868</v>
      </c>
      <c r="E8" s="29"/>
      <c r="F8" s="29">
        <v>3</v>
      </c>
      <c r="G8" s="29">
        <f t="shared" si="0"/>
        <v>3</v>
      </c>
    </row>
    <row r="9" spans="1:7" x14ac:dyDescent="0.25">
      <c r="A9" s="25">
        <v>6</v>
      </c>
      <c r="B9" s="64" t="s">
        <v>855</v>
      </c>
      <c r="C9" s="65" t="s">
        <v>855</v>
      </c>
      <c r="D9" s="28" t="s">
        <v>869</v>
      </c>
      <c r="E9" s="29">
        <v>8</v>
      </c>
      <c r="F9" s="29">
        <v>6</v>
      </c>
      <c r="G9" s="29">
        <f t="shared" si="0"/>
        <v>14</v>
      </c>
    </row>
    <row r="10" spans="1:7" x14ac:dyDescent="0.25">
      <c r="A10" s="25">
        <v>7</v>
      </c>
      <c r="B10" s="64" t="s">
        <v>856</v>
      </c>
      <c r="C10" s="65" t="s">
        <v>856</v>
      </c>
      <c r="D10" s="28" t="s">
        <v>870</v>
      </c>
      <c r="E10" s="29">
        <v>4</v>
      </c>
      <c r="F10" s="29"/>
      <c r="G10" s="29">
        <f t="shared" si="0"/>
        <v>4</v>
      </c>
    </row>
    <row r="11" spans="1:7" x14ac:dyDescent="0.25">
      <c r="A11" s="25">
        <v>8</v>
      </c>
      <c r="B11" s="64" t="s">
        <v>857</v>
      </c>
      <c r="C11" s="65" t="s">
        <v>857</v>
      </c>
      <c r="D11" s="28" t="s">
        <v>871</v>
      </c>
      <c r="E11" s="29">
        <v>5</v>
      </c>
      <c r="F11" s="29">
        <v>5</v>
      </c>
      <c r="G11" s="29">
        <f t="shared" si="0"/>
        <v>10</v>
      </c>
    </row>
    <row r="12" spans="1:7" x14ac:dyDescent="0.25">
      <c r="A12" s="25">
        <v>9</v>
      </c>
      <c r="B12" s="64" t="s">
        <v>858</v>
      </c>
      <c r="C12" s="65" t="s">
        <v>858</v>
      </c>
      <c r="D12" s="28" t="s">
        <v>872</v>
      </c>
      <c r="E12" s="29">
        <v>5</v>
      </c>
      <c r="F12" s="29">
        <v>4</v>
      </c>
      <c r="G12" s="29">
        <f t="shared" si="0"/>
        <v>9</v>
      </c>
    </row>
    <row r="13" spans="1:7" x14ac:dyDescent="0.25">
      <c r="A13" s="25">
        <v>10</v>
      </c>
      <c r="B13" s="64" t="s">
        <v>859</v>
      </c>
      <c r="C13" s="65" t="s">
        <v>859</v>
      </c>
      <c r="D13" s="28" t="s">
        <v>873</v>
      </c>
      <c r="E13" s="29">
        <v>4</v>
      </c>
      <c r="F13" s="29">
        <v>4</v>
      </c>
      <c r="G13" s="29">
        <f t="shared" si="0"/>
        <v>8</v>
      </c>
    </row>
    <row r="14" spans="1:7" x14ac:dyDescent="0.25">
      <c r="A14" s="25">
        <v>11</v>
      </c>
      <c r="B14" s="64" t="s">
        <v>860</v>
      </c>
      <c r="C14" s="65" t="s">
        <v>860</v>
      </c>
      <c r="D14" s="28" t="s">
        <v>874</v>
      </c>
      <c r="E14" s="29">
        <v>6</v>
      </c>
      <c r="F14" s="29">
        <v>3</v>
      </c>
      <c r="G14" s="29">
        <f t="shared" si="0"/>
        <v>9</v>
      </c>
    </row>
    <row r="15" spans="1:7" x14ac:dyDescent="0.25">
      <c r="A15" s="25">
        <v>12</v>
      </c>
      <c r="B15" s="64" t="s">
        <v>861</v>
      </c>
      <c r="C15" s="65" t="s">
        <v>861</v>
      </c>
      <c r="D15" s="28" t="s">
        <v>875</v>
      </c>
      <c r="E15" s="29">
        <v>2</v>
      </c>
      <c r="F15" s="29">
        <v>10</v>
      </c>
      <c r="G15" s="29">
        <f t="shared" si="0"/>
        <v>12</v>
      </c>
    </row>
    <row r="16" spans="1:7" x14ac:dyDescent="0.25">
      <c r="A16" s="25">
        <v>13</v>
      </c>
      <c r="B16" s="64" t="s">
        <v>862</v>
      </c>
      <c r="C16" s="65" t="s">
        <v>862</v>
      </c>
      <c r="D16" s="28" t="s">
        <v>876</v>
      </c>
      <c r="E16" s="29">
        <v>7</v>
      </c>
      <c r="F16" s="29"/>
      <c r="G16" s="29">
        <f t="shared" si="0"/>
        <v>7</v>
      </c>
    </row>
    <row r="17" spans="1:7" x14ac:dyDescent="0.25">
      <c r="A17" s="25">
        <v>14</v>
      </c>
      <c r="B17" s="64" t="s">
        <v>863</v>
      </c>
      <c r="C17" s="65" t="s">
        <v>863</v>
      </c>
      <c r="D17" s="28" t="s">
        <v>875</v>
      </c>
      <c r="E17" s="29">
        <v>3</v>
      </c>
      <c r="F17" s="29">
        <v>1</v>
      </c>
      <c r="G17" s="29">
        <f t="shared" si="0"/>
        <v>4</v>
      </c>
    </row>
    <row r="18" spans="1:7" x14ac:dyDescent="0.25">
      <c r="A18" s="66" t="s">
        <v>71</v>
      </c>
      <c r="B18" s="67"/>
      <c r="C18" s="67"/>
      <c r="D18" s="68"/>
      <c r="E18" s="29">
        <f>SUM(E4:E17)</f>
        <v>76</v>
      </c>
      <c r="F18" s="29">
        <f>SUM(F4:F17)</f>
        <v>54</v>
      </c>
      <c r="G18" s="29">
        <f t="shared" si="0"/>
        <v>130</v>
      </c>
    </row>
  </sheetData>
  <mergeCells count="19">
    <mergeCell ref="B17:C17"/>
    <mergeCell ref="B6:C6"/>
    <mergeCell ref="A18:D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5:C5"/>
    <mergeCell ref="A2:A3"/>
    <mergeCell ref="B2:C3"/>
    <mergeCell ref="D2:D3"/>
    <mergeCell ref="E2:G2"/>
    <mergeCell ref="B4:C4"/>
  </mergeCells>
  <pageMargins left="0.7" right="0.7" top="0.75" bottom="0.75" header="0.3" footer="0.3"/>
  <pageSetup paperSize="9"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70B42-9762-4BAD-9CAF-025C8F8B22E1}">
  <dimension ref="A2:G11"/>
  <sheetViews>
    <sheetView rightToLeft="1" workbookViewId="0">
      <selection activeCell="E4" sqref="E4:G11"/>
    </sheetView>
  </sheetViews>
  <sheetFormatPr baseColWidth="10" defaultRowHeight="15" x14ac:dyDescent="0.25"/>
  <cols>
    <col min="1" max="1" width="6.28515625" customWidth="1"/>
    <col min="3" max="3" width="13.42578125" customWidth="1"/>
    <col min="4" max="4" width="22" customWidth="1"/>
  </cols>
  <sheetData>
    <row r="2" spans="1:7" ht="23.25" x14ac:dyDescent="0.25">
      <c r="A2" s="51" t="s">
        <v>80</v>
      </c>
      <c r="B2" s="69" t="s">
        <v>81</v>
      </c>
      <c r="C2" s="70"/>
      <c r="D2" s="51" t="s">
        <v>82</v>
      </c>
      <c r="E2" s="48" t="s">
        <v>76</v>
      </c>
      <c r="F2" s="49"/>
      <c r="G2" s="50"/>
    </row>
    <row r="3" spans="1:7" ht="18.75" x14ac:dyDescent="0.25">
      <c r="A3" s="52"/>
      <c r="B3" s="71"/>
      <c r="C3" s="72"/>
      <c r="D3" s="52"/>
      <c r="E3" s="16" t="s">
        <v>77</v>
      </c>
      <c r="F3" s="16" t="s">
        <v>78</v>
      </c>
      <c r="G3" s="16" t="s">
        <v>79</v>
      </c>
    </row>
    <row r="4" spans="1:7" x14ac:dyDescent="0.25">
      <c r="A4" s="25">
        <v>1</v>
      </c>
      <c r="B4" s="64" t="s">
        <v>877</v>
      </c>
      <c r="C4" s="65" t="s">
        <v>877</v>
      </c>
      <c r="D4" s="28" t="s">
        <v>884</v>
      </c>
      <c r="E4" s="29">
        <v>7</v>
      </c>
      <c r="F4" s="29">
        <v>6</v>
      </c>
      <c r="G4" s="29">
        <f t="shared" ref="G4:G11" si="0">SUM(E4:F4)</f>
        <v>13</v>
      </c>
    </row>
    <row r="5" spans="1:7" x14ac:dyDescent="0.25">
      <c r="A5" s="25">
        <v>2</v>
      </c>
      <c r="B5" s="64" t="s">
        <v>878</v>
      </c>
      <c r="C5" s="65" t="s">
        <v>878</v>
      </c>
      <c r="D5" s="28" t="s">
        <v>885</v>
      </c>
      <c r="E5" s="29">
        <v>6</v>
      </c>
      <c r="F5" s="29">
        <v>5</v>
      </c>
      <c r="G5" s="29">
        <f t="shared" si="0"/>
        <v>11</v>
      </c>
    </row>
    <row r="6" spans="1:7" x14ac:dyDescent="0.25">
      <c r="A6" s="25">
        <v>3</v>
      </c>
      <c r="B6" s="64" t="s">
        <v>879</v>
      </c>
      <c r="C6" s="65" t="s">
        <v>879</v>
      </c>
      <c r="D6" s="28" t="s">
        <v>886</v>
      </c>
      <c r="E6" s="29">
        <v>4</v>
      </c>
      <c r="F6" s="29">
        <v>4</v>
      </c>
      <c r="G6" s="29">
        <f t="shared" si="0"/>
        <v>8</v>
      </c>
    </row>
    <row r="7" spans="1:7" x14ac:dyDescent="0.25">
      <c r="A7" s="25">
        <v>4</v>
      </c>
      <c r="B7" s="64" t="s">
        <v>880</v>
      </c>
      <c r="C7" s="65" t="s">
        <v>880</v>
      </c>
      <c r="D7" s="28" t="s">
        <v>887</v>
      </c>
      <c r="E7" s="29">
        <v>6</v>
      </c>
      <c r="F7" s="29">
        <v>5</v>
      </c>
      <c r="G7" s="29">
        <f t="shared" si="0"/>
        <v>11</v>
      </c>
    </row>
    <row r="8" spans="1:7" x14ac:dyDescent="0.25">
      <c r="A8" s="25">
        <v>5</v>
      </c>
      <c r="B8" s="64" t="s">
        <v>881</v>
      </c>
      <c r="C8" s="65" t="s">
        <v>881</v>
      </c>
      <c r="D8" s="28" t="s">
        <v>888</v>
      </c>
      <c r="E8" s="29">
        <v>6</v>
      </c>
      <c r="F8" s="29">
        <v>5</v>
      </c>
      <c r="G8" s="29">
        <f t="shared" si="0"/>
        <v>11</v>
      </c>
    </row>
    <row r="9" spans="1:7" x14ac:dyDescent="0.25">
      <c r="A9" s="25">
        <v>6</v>
      </c>
      <c r="B9" s="64" t="s">
        <v>882</v>
      </c>
      <c r="C9" s="65" t="s">
        <v>882</v>
      </c>
      <c r="D9" s="28" t="s">
        <v>889</v>
      </c>
      <c r="E9" s="29">
        <v>7</v>
      </c>
      <c r="F9" s="29">
        <v>2</v>
      </c>
      <c r="G9" s="29">
        <f t="shared" si="0"/>
        <v>9</v>
      </c>
    </row>
    <row r="10" spans="1:7" x14ac:dyDescent="0.25">
      <c r="A10" s="25">
        <v>7</v>
      </c>
      <c r="B10" s="64" t="s">
        <v>883</v>
      </c>
      <c r="C10" s="65" t="s">
        <v>883</v>
      </c>
      <c r="D10" s="28" t="s">
        <v>883</v>
      </c>
      <c r="E10" s="29">
        <v>2</v>
      </c>
      <c r="F10" s="29">
        <v>2</v>
      </c>
      <c r="G10" s="29">
        <f t="shared" si="0"/>
        <v>4</v>
      </c>
    </row>
    <row r="11" spans="1:7" x14ac:dyDescent="0.25">
      <c r="A11" s="66" t="s">
        <v>71</v>
      </c>
      <c r="B11" s="67"/>
      <c r="C11" s="67"/>
      <c r="D11" s="68"/>
      <c r="E11" s="29">
        <f>SUM(E4:E10)</f>
        <v>38</v>
      </c>
      <c r="F11" s="29">
        <f>SUM(F4:F10)</f>
        <v>29</v>
      </c>
      <c r="G11" s="29">
        <f t="shared" si="0"/>
        <v>67</v>
      </c>
    </row>
  </sheetData>
  <mergeCells count="12">
    <mergeCell ref="A11:D11"/>
    <mergeCell ref="B6:C6"/>
    <mergeCell ref="B7:C7"/>
    <mergeCell ref="B8:C8"/>
    <mergeCell ref="B9:C9"/>
    <mergeCell ref="B10:C10"/>
    <mergeCell ref="B5:C5"/>
    <mergeCell ref="A2:A3"/>
    <mergeCell ref="B2:C3"/>
    <mergeCell ref="D2:D3"/>
    <mergeCell ref="E2:G2"/>
    <mergeCell ref="B4:C4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D4CF3-9FBE-455D-BA7C-D99815E7EEC7}">
  <dimension ref="A2:G21"/>
  <sheetViews>
    <sheetView rightToLeft="1" workbookViewId="0">
      <selection activeCell="A4" sqref="A4:A20"/>
    </sheetView>
  </sheetViews>
  <sheetFormatPr baseColWidth="10" defaultRowHeight="15" x14ac:dyDescent="0.25"/>
  <cols>
    <col min="1" max="1" width="6.28515625" customWidth="1"/>
    <col min="3" max="3" width="13.42578125" customWidth="1"/>
    <col min="4" max="4" width="22" customWidth="1"/>
  </cols>
  <sheetData>
    <row r="2" spans="1:7" ht="23.25" x14ac:dyDescent="0.25">
      <c r="A2" s="51" t="s">
        <v>80</v>
      </c>
      <c r="B2" s="69" t="s">
        <v>81</v>
      </c>
      <c r="C2" s="70"/>
      <c r="D2" s="51" t="s">
        <v>82</v>
      </c>
      <c r="E2" s="48" t="s">
        <v>76</v>
      </c>
      <c r="F2" s="49"/>
      <c r="G2" s="50"/>
    </row>
    <row r="3" spans="1:7" ht="18.75" x14ac:dyDescent="0.25">
      <c r="A3" s="52"/>
      <c r="B3" s="71"/>
      <c r="C3" s="72"/>
      <c r="D3" s="52"/>
      <c r="E3" s="16" t="s">
        <v>77</v>
      </c>
      <c r="F3" s="16" t="s">
        <v>78</v>
      </c>
      <c r="G3" s="16" t="s">
        <v>79</v>
      </c>
    </row>
    <row r="4" spans="1:7" x14ac:dyDescent="0.25">
      <c r="A4" s="25">
        <v>1</v>
      </c>
      <c r="B4" s="78" t="s">
        <v>890</v>
      </c>
      <c r="C4" s="79" t="s">
        <v>890</v>
      </c>
      <c r="D4" s="28" t="s">
        <v>907</v>
      </c>
      <c r="E4" s="29">
        <v>15</v>
      </c>
      <c r="F4" s="29"/>
      <c r="G4" s="29">
        <f t="shared" ref="G4:G21" si="0">SUM(E4:F4)</f>
        <v>15</v>
      </c>
    </row>
    <row r="5" spans="1:7" x14ac:dyDescent="0.25">
      <c r="A5" s="25">
        <v>2</v>
      </c>
      <c r="B5" s="78" t="s">
        <v>891</v>
      </c>
      <c r="C5" s="79" t="s">
        <v>891</v>
      </c>
      <c r="D5" s="28" t="s">
        <v>907</v>
      </c>
      <c r="E5" s="29"/>
      <c r="F5" s="29">
        <v>14</v>
      </c>
      <c r="G5" s="29">
        <f t="shared" si="0"/>
        <v>14</v>
      </c>
    </row>
    <row r="6" spans="1:7" x14ac:dyDescent="0.25">
      <c r="A6" s="25">
        <v>3</v>
      </c>
      <c r="B6" s="78" t="s">
        <v>892</v>
      </c>
      <c r="C6" s="79" t="s">
        <v>892</v>
      </c>
      <c r="D6" s="28" t="s">
        <v>908</v>
      </c>
      <c r="E6" s="29">
        <v>9</v>
      </c>
      <c r="F6" s="29"/>
      <c r="G6" s="29">
        <f t="shared" si="0"/>
        <v>9</v>
      </c>
    </row>
    <row r="7" spans="1:7" x14ac:dyDescent="0.25">
      <c r="A7" s="25">
        <v>4</v>
      </c>
      <c r="B7" s="78" t="s">
        <v>893</v>
      </c>
      <c r="C7" s="79" t="s">
        <v>893</v>
      </c>
      <c r="D7" s="28" t="s">
        <v>908</v>
      </c>
      <c r="E7" s="29"/>
      <c r="F7" s="29">
        <v>7</v>
      </c>
      <c r="G7" s="29">
        <f t="shared" si="0"/>
        <v>7</v>
      </c>
    </row>
    <row r="8" spans="1:7" x14ac:dyDescent="0.25">
      <c r="A8" s="25">
        <v>5</v>
      </c>
      <c r="B8" s="78" t="s">
        <v>894</v>
      </c>
      <c r="C8" s="79" t="s">
        <v>894</v>
      </c>
      <c r="D8" s="28" t="s">
        <v>909</v>
      </c>
      <c r="E8" s="29">
        <v>10</v>
      </c>
      <c r="F8" s="29"/>
      <c r="G8" s="29">
        <f t="shared" si="0"/>
        <v>10</v>
      </c>
    </row>
    <row r="9" spans="1:7" x14ac:dyDescent="0.25">
      <c r="A9" s="25">
        <v>6</v>
      </c>
      <c r="B9" s="78" t="s">
        <v>895</v>
      </c>
      <c r="C9" s="79" t="s">
        <v>895</v>
      </c>
      <c r="D9" s="28" t="s">
        <v>909</v>
      </c>
      <c r="E9" s="29"/>
      <c r="F9" s="29">
        <v>9</v>
      </c>
      <c r="G9" s="29">
        <f t="shared" si="0"/>
        <v>9</v>
      </c>
    </row>
    <row r="10" spans="1:7" x14ac:dyDescent="0.25">
      <c r="A10" s="25">
        <v>7</v>
      </c>
      <c r="B10" s="78" t="s">
        <v>896</v>
      </c>
      <c r="C10" s="79" t="s">
        <v>896</v>
      </c>
      <c r="D10" s="28" t="s">
        <v>910</v>
      </c>
      <c r="E10" s="29">
        <v>6</v>
      </c>
      <c r="F10" s="29"/>
      <c r="G10" s="29">
        <f t="shared" si="0"/>
        <v>6</v>
      </c>
    </row>
    <row r="11" spans="1:7" x14ac:dyDescent="0.25">
      <c r="A11" s="25">
        <v>8</v>
      </c>
      <c r="B11" s="78" t="s">
        <v>897</v>
      </c>
      <c r="C11" s="79" t="s">
        <v>897</v>
      </c>
      <c r="D11" s="28" t="s">
        <v>910</v>
      </c>
      <c r="E11" s="29"/>
      <c r="F11" s="29">
        <v>6</v>
      </c>
      <c r="G11" s="29">
        <f t="shared" si="0"/>
        <v>6</v>
      </c>
    </row>
    <row r="12" spans="1:7" x14ac:dyDescent="0.25">
      <c r="A12" s="25">
        <v>9</v>
      </c>
      <c r="B12" s="78" t="s">
        <v>898</v>
      </c>
      <c r="C12" s="79" t="s">
        <v>898</v>
      </c>
      <c r="D12" s="28" t="s">
        <v>911</v>
      </c>
      <c r="E12" s="29">
        <v>6</v>
      </c>
      <c r="F12" s="29"/>
      <c r="G12" s="29">
        <f t="shared" si="0"/>
        <v>6</v>
      </c>
    </row>
    <row r="13" spans="1:7" x14ac:dyDescent="0.25">
      <c r="A13" s="25">
        <v>10</v>
      </c>
      <c r="B13" s="78" t="s">
        <v>899</v>
      </c>
      <c r="C13" s="79" t="s">
        <v>899</v>
      </c>
      <c r="D13" s="28" t="s">
        <v>912</v>
      </c>
      <c r="E13" s="29"/>
      <c r="F13" s="29">
        <v>6</v>
      </c>
      <c r="G13" s="29">
        <f t="shared" si="0"/>
        <v>6</v>
      </c>
    </row>
    <row r="14" spans="1:7" x14ac:dyDescent="0.25">
      <c r="A14" s="25">
        <v>11</v>
      </c>
      <c r="B14" s="78" t="s">
        <v>900</v>
      </c>
      <c r="C14" s="79" t="s">
        <v>900</v>
      </c>
      <c r="D14" s="28" t="s">
        <v>913</v>
      </c>
      <c r="E14" s="29">
        <v>8</v>
      </c>
      <c r="F14" s="29"/>
      <c r="G14" s="29">
        <f t="shared" si="0"/>
        <v>8</v>
      </c>
    </row>
    <row r="15" spans="1:7" x14ac:dyDescent="0.25">
      <c r="A15" s="25">
        <v>12</v>
      </c>
      <c r="B15" s="78" t="s">
        <v>901</v>
      </c>
      <c r="C15" s="79" t="s">
        <v>901</v>
      </c>
      <c r="D15" s="28" t="s">
        <v>913</v>
      </c>
      <c r="E15" s="29"/>
      <c r="F15" s="29">
        <v>7</v>
      </c>
      <c r="G15" s="29">
        <f t="shared" si="0"/>
        <v>7</v>
      </c>
    </row>
    <row r="16" spans="1:7" x14ac:dyDescent="0.25">
      <c r="A16" s="25">
        <v>13</v>
      </c>
      <c r="B16" s="78" t="s">
        <v>902</v>
      </c>
      <c r="C16" s="79" t="s">
        <v>902</v>
      </c>
      <c r="D16" s="28" t="s">
        <v>914</v>
      </c>
      <c r="E16" s="29">
        <v>12</v>
      </c>
      <c r="F16" s="29"/>
      <c r="G16" s="29">
        <f t="shared" si="0"/>
        <v>12</v>
      </c>
    </row>
    <row r="17" spans="1:7" x14ac:dyDescent="0.25">
      <c r="A17" s="25">
        <v>14</v>
      </c>
      <c r="B17" s="78" t="s">
        <v>903</v>
      </c>
      <c r="C17" s="79" t="s">
        <v>903</v>
      </c>
      <c r="D17" s="28" t="s">
        <v>914</v>
      </c>
      <c r="E17" s="29"/>
      <c r="F17" s="29">
        <v>12</v>
      </c>
      <c r="G17" s="29">
        <f t="shared" si="0"/>
        <v>12</v>
      </c>
    </row>
    <row r="18" spans="1:7" x14ac:dyDescent="0.25">
      <c r="A18" s="25">
        <v>15</v>
      </c>
      <c r="B18" s="78" t="s">
        <v>904</v>
      </c>
      <c r="C18" s="79" t="s">
        <v>904</v>
      </c>
      <c r="D18" s="28" t="s">
        <v>914</v>
      </c>
      <c r="E18" s="29">
        <v>12</v>
      </c>
      <c r="F18" s="29"/>
      <c r="G18" s="29">
        <f t="shared" si="0"/>
        <v>12</v>
      </c>
    </row>
    <row r="19" spans="1:7" x14ac:dyDescent="0.25">
      <c r="A19" s="25">
        <v>16</v>
      </c>
      <c r="B19" s="78" t="s">
        <v>905</v>
      </c>
      <c r="C19" s="79" t="s">
        <v>905</v>
      </c>
      <c r="D19" s="28" t="s">
        <v>914</v>
      </c>
      <c r="E19" s="29"/>
      <c r="F19" s="29">
        <v>10</v>
      </c>
      <c r="G19" s="29">
        <f t="shared" si="0"/>
        <v>10</v>
      </c>
    </row>
    <row r="20" spans="1:7" x14ac:dyDescent="0.25">
      <c r="A20" s="25">
        <v>17</v>
      </c>
      <c r="B20" s="78" t="s">
        <v>906</v>
      </c>
      <c r="C20" s="79" t="s">
        <v>906</v>
      </c>
      <c r="D20" s="28" t="s">
        <v>914</v>
      </c>
      <c r="E20" s="29">
        <v>6</v>
      </c>
      <c r="F20" s="29"/>
      <c r="G20" s="29">
        <f t="shared" si="0"/>
        <v>6</v>
      </c>
    </row>
    <row r="21" spans="1:7" x14ac:dyDescent="0.25">
      <c r="A21" s="66" t="s">
        <v>71</v>
      </c>
      <c r="B21" s="67"/>
      <c r="C21" s="67"/>
      <c r="D21" s="68"/>
      <c r="E21" s="29">
        <f>SUM(E4:E20)</f>
        <v>84</v>
      </c>
      <c r="F21" s="29">
        <f>SUM(F4:F20)</f>
        <v>71</v>
      </c>
      <c r="G21" s="29">
        <f t="shared" si="0"/>
        <v>155</v>
      </c>
    </row>
  </sheetData>
  <mergeCells count="22">
    <mergeCell ref="A21:D21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6:C6"/>
    <mergeCell ref="B7:C7"/>
    <mergeCell ref="B17:C17"/>
    <mergeCell ref="B18:C18"/>
    <mergeCell ref="B20:C20"/>
    <mergeCell ref="B19:C19"/>
    <mergeCell ref="B5:C5"/>
    <mergeCell ref="A2:A3"/>
    <mergeCell ref="B2:C3"/>
    <mergeCell ref="D2:D3"/>
    <mergeCell ref="E2:G2"/>
    <mergeCell ref="B4:C4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05D73-15B0-44D8-8CF7-B0E3E1463FD5}">
  <dimension ref="A2:G20"/>
  <sheetViews>
    <sheetView rightToLeft="1" workbookViewId="0">
      <selection activeCell="E4" sqref="E4:G20"/>
    </sheetView>
  </sheetViews>
  <sheetFormatPr baseColWidth="10" defaultRowHeight="15" x14ac:dyDescent="0.25"/>
  <cols>
    <col min="1" max="1" width="6.28515625" customWidth="1"/>
    <col min="3" max="3" width="13.42578125" customWidth="1"/>
    <col min="4" max="4" width="22" customWidth="1"/>
  </cols>
  <sheetData>
    <row r="2" spans="1:7" ht="23.25" x14ac:dyDescent="0.25">
      <c r="A2" s="51" t="s">
        <v>80</v>
      </c>
      <c r="B2" s="69" t="s">
        <v>81</v>
      </c>
      <c r="C2" s="70"/>
      <c r="D2" s="51" t="s">
        <v>82</v>
      </c>
      <c r="E2" s="48" t="s">
        <v>76</v>
      </c>
      <c r="F2" s="49"/>
      <c r="G2" s="50"/>
    </row>
    <row r="3" spans="1:7" ht="18.75" x14ac:dyDescent="0.25">
      <c r="A3" s="52"/>
      <c r="B3" s="71"/>
      <c r="C3" s="72"/>
      <c r="D3" s="52"/>
      <c r="E3" s="16" t="s">
        <v>77</v>
      </c>
      <c r="F3" s="16" t="s">
        <v>78</v>
      </c>
      <c r="G3" s="16" t="s">
        <v>79</v>
      </c>
    </row>
    <row r="4" spans="1:7" x14ac:dyDescent="0.25">
      <c r="A4" s="25">
        <v>1</v>
      </c>
      <c r="B4" s="78" t="s">
        <v>915</v>
      </c>
      <c r="C4" s="79" t="s">
        <v>915</v>
      </c>
      <c r="D4" s="28" t="s">
        <v>931</v>
      </c>
      <c r="E4" s="29">
        <v>13</v>
      </c>
      <c r="F4" s="29"/>
      <c r="G4" s="29">
        <f t="shared" ref="G4:G20" si="0">SUM(E4:F4)</f>
        <v>13</v>
      </c>
    </row>
    <row r="5" spans="1:7" x14ac:dyDescent="0.25">
      <c r="A5" s="25">
        <v>2</v>
      </c>
      <c r="B5" s="78" t="s">
        <v>916</v>
      </c>
      <c r="C5" s="79" t="s">
        <v>916</v>
      </c>
      <c r="D5" s="28" t="s">
        <v>931</v>
      </c>
      <c r="E5" s="29"/>
      <c r="F5" s="29">
        <v>12</v>
      </c>
      <c r="G5" s="29">
        <f t="shared" si="0"/>
        <v>12</v>
      </c>
    </row>
    <row r="6" spans="1:7" x14ac:dyDescent="0.25">
      <c r="A6" s="25">
        <v>3</v>
      </c>
      <c r="B6" s="78" t="s">
        <v>917</v>
      </c>
      <c r="C6" s="79" t="s">
        <v>917</v>
      </c>
      <c r="D6" s="28" t="s">
        <v>932</v>
      </c>
      <c r="E6" s="29">
        <v>5</v>
      </c>
      <c r="F6" s="29">
        <v>5</v>
      </c>
      <c r="G6" s="29">
        <f t="shared" si="0"/>
        <v>10</v>
      </c>
    </row>
    <row r="7" spans="1:7" x14ac:dyDescent="0.25">
      <c r="A7" s="25">
        <v>4</v>
      </c>
      <c r="B7" s="78" t="s">
        <v>918</v>
      </c>
      <c r="C7" s="79" t="s">
        <v>918</v>
      </c>
      <c r="D7" s="28" t="s">
        <v>933</v>
      </c>
      <c r="E7" s="29">
        <v>6</v>
      </c>
      <c r="F7" s="29">
        <v>5</v>
      </c>
      <c r="G7" s="29">
        <f t="shared" si="0"/>
        <v>11</v>
      </c>
    </row>
    <row r="8" spans="1:7" x14ac:dyDescent="0.25">
      <c r="A8" s="25">
        <v>5</v>
      </c>
      <c r="B8" s="78" t="s">
        <v>919</v>
      </c>
      <c r="C8" s="79" t="s">
        <v>919</v>
      </c>
      <c r="D8" s="28" t="s">
        <v>934</v>
      </c>
      <c r="E8" s="29">
        <v>10</v>
      </c>
      <c r="F8" s="29"/>
      <c r="G8" s="29">
        <f t="shared" si="0"/>
        <v>10</v>
      </c>
    </row>
    <row r="9" spans="1:7" x14ac:dyDescent="0.25">
      <c r="A9" s="25">
        <v>6</v>
      </c>
      <c r="B9" s="78" t="s">
        <v>920</v>
      </c>
      <c r="C9" s="79" t="s">
        <v>920</v>
      </c>
      <c r="D9" s="28" t="s">
        <v>935</v>
      </c>
      <c r="E9" s="29"/>
      <c r="F9" s="29">
        <v>8</v>
      </c>
      <c r="G9" s="29">
        <f t="shared" si="0"/>
        <v>8</v>
      </c>
    </row>
    <row r="10" spans="1:7" x14ac:dyDescent="0.25">
      <c r="A10" s="25">
        <v>7</v>
      </c>
      <c r="B10" s="78" t="s">
        <v>921</v>
      </c>
      <c r="C10" s="79" t="s">
        <v>921</v>
      </c>
      <c r="D10" s="28" t="s">
        <v>936</v>
      </c>
      <c r="E10" s="29"/>
      <c r="F10" s="29">
        <v>15</v>
      </c>
      <c r="G10" s="29">
        <f t="shared" si="0"/>
        <v>15</v>
      </c>
    </row>
    <row r="11" spans="1:7" x14ac:dyDescent="0.25">
      <c r="A11" s="25">
        <v>8</v>
      </c>
      <c r="B11" s="78" t="s">
        <v>922</v>
      </c>
      <c r="C11" s="79" t="s">
        <v>922</v>
      </c>
      <c r="D11" s="28" t="s">
        <v>936</v>
      </c>
      <c r="E11" s="29">
        <v>13</v>
      </c>
      <c r="F11" s="29"/>
      <c r="G11" s="29">
        <f t="shared" si="0"/>
        <v>13</v>
      </c>
    </row>
    <row r="12" spans="1:7" x14ac:dyDescent="0.25">
      <c r="A12" s="25">
        <v>9</v>
      </c>
      <c r="B12" s="78" t="s">
        <v>923</v>
      </c>
      <c r="C12" s="79" t="s">
        <v>923</v>
      </c>
      <c r="D12" s="28" t="s">
        <v>937</v>
      </c>
      <c r="E12" s="29">
        <v>3</v>
      </c>
      <c r="F12" s="29">
        <v>3</v>
      </c>
      <c r="G12" s="29">
        <f t="shared" si="0"/>
        <v>6</v>
      </c>
    </row>
    <row r="13" spans="1:7" x14ac:dyDescent="0.25">
      <c r="A13" s="25">
        <v>10</v>
      </c>
      <c r="B13" s="78" t="s">
        <v>924</v>
      </c>
      <c r="C13" s="79" t="s">
        <v>924</v>
      </c>
      <c r="D13" s="28" t="s">
        <v>938</v>
      </c>
      <c r="E13" s="29">
        <v>10</v>
      </c>
      <c r="F13" s="29"/>
      <c r="G13" s="29">
        <f t="shared" si="0"/>
        <v>10</v>
      </c>
    </row>
    <row r="14" spans="1:7" x14ac:dyDescent="0.25">
      <c r="A14" s="25">
        <v>11</v>
      </c>
      <c r="B14" s="78" t="s">
        <v>925</v>
      </c>
      <c r="C14" s="79" t="s">
        <v>925</v>
      </c>
      <c r="D14" s="28" t="s">
        <v>938</v>
      </c>
      <c r="E14" s="29"/>
      <c r="F14" s="29">
        <v>8</v>
      </c>
      <c r="G14" s="29">
        <f t="shared" si="0"/>
        <v>8</v>
      </c>
    </row>
    <row r="15" spans="1:7" x14ac:dyDescent="0.25">
      <c r="A15" s="25">
        <v>12</v>
      </c>
      <c r="B15" s="78" t="s">
        <v>926</v>
      </c>
      <c r="C15" s="79" t="s">
        <v>926</v>
      </c>
      <c r="D15" s="28" t="s">
        <v>939</v>
      </c>
      <c r="E15" s="29">
        <v>10</v>
      </c>
      <c r="F15" s="29"/>
      <c r="G15" s="29">
        <f t="shared" si="0"/>
        <v>10</v>
      </c>
    </row>
    <row r="16" spans="1:7" x14ac:dyDescent="0.25">
      <c r="A16" s="25">
        <v>13</v>
      </c>
      <c r="B16" s="78" t="s">
        <v>927</v>
      </c>
      <c r="C16" s="79" t="s">
        <v>927</v>
      </c>
      <c r="D16" s="28" t="s">
        <v>938</v>
      </c>
      <c r="E16" s="29"/>
      <c r="F16" s="29">
        <v>9</v>
      </c>
      <c r="G16" s="29">
        <f t="shared" si="0"/>
        <v>9</v>
      </c>
    </row>
    <row r="17" spans="1:7" x14ac:dyDescent="0.25">
      <c r="A17" s="25">
        <v>14</v>
      </c>
      <c r="B17" s="78" t="s">
        <v>928</v>
      </c>
      <c r="C17" s="79" t="s">
        <v>928</v>
      </c>
      <c r="D17" s="28" t="s">
        <v>940</v>
      </c>
      <c r="E17" s="29">
        <v>3</v>
      </c>
      <c r="F17" s="29">
        <v>2</v>
      </c>
      <c r="G17" s="29">
        <f t="shared" si="0"/>
        <v>5</v>
      </c>
    </row>
    <row r="18" spans="1:7" x14ac:dyDescent="0.25">
      <c r="A18" s="25">
        <v>15</v>
      </c>
      <c r="B18" s="78" t="s">
        <v>929</v>
      </c>
      <c r="C18" s="79" t="s">
        <v>929</v>
      </c>
      <c r="D18" s="28" t="s">
        <v>912</v>
      </c>
      <c r="E18" s="29">
        <v>5</v>
      </c>
      <c r="F18" s="29">
        <v>5</v>
      </c>
      <c r="G18" s="29">
        <f t="shared" si="0"/>
        <v>10</v>
      </c>
    </row>
    <row r="19" spans="1:7" x14ac:dyDescent="0.25">
      <c r="A19" s="25">
        <v>16</v>
      </c>
      <c r="B19" s="78" t="s">
        <v>930</v>
      </c>
      <c r="C19" s="79" t="s">
        <v>930</v>
      </c>
      <c r="D19" s="28" t="s">
        <v>941</v>
      </c>
      <c r="E19" s="29">
        <v>6</v>
      </c>
      <c r="F19" s="29"/>
      <c r="G19" s="29">
        <f t="shared" si="0"/>
        <v>6</v>
      </c>
    </row>
    <row r="20" spans="1:7" x14ac:dyDescent="0.25">
      <c r="A20" s="66" t="s">
        <v>71</v>
      </c>
      <c r="B20" s="67"/>
      <c r="C20" s="67"/>
      <c r="D20" s="68"/>
      <c r="E20" s="29">
        <f>SUM(E4:E19)</f>
        <v>84</v>
      </c>
      <c r="F20" s="29">
        <f>SUM(F4:F19)</f>
        <v>72</v>
      </c>
      <c r="G20" s="29">
        <f t="shared" si="0"/>
        <v>156</v>
      </c>
    </row>
  </sheetData>
  <mergeCells count="21">
    <mergeCell ref="B18:C18"/>
    <mergeCell ref="B19:C19"/>
    <mergeCell ref="A20:D20"/>
    <mergeCell ref="B12:C12"/>
    <mergeCell ref="B13:C13"/>
    <mergeCell ref="B14:C14"/>
    <mergeCell ref="B15:C15"/>
    <mergeCell ref="B16:C16"/>
    <mergeCell ref="B17:C17"/>
    <mergeCell ref="B11:C11"/>
    <mergeCell ref="A2:A3"/>
    <mergeCell ref="B2:C3"/>
    <mergeCell ref="D2:D3"/>
    <mergeCell ref="E2:G2"/>
    <mergeCell ref="B4:C4"/>
    <mergeCell ref="B5:C5"/>
    <mergeCell ref="B6:C6"/>
    <mergeCell ref="B7:C7"/>
    <mergeCell ref="B8:C8"/>
    <mergeCell ref="B9:C9"/>
    <mergeCell ref="B10:C10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CCD2D-FBC1-4D9F-A715-F34C86F2A372}">
  <dimension ref="A2:G13"/>
  <sheetViews>
    <sheetView rightToLeft="1" workbookViewId="0">
      <selection activeCell="E4" sqref="E4:G13"/>
    </sheetView>
  </sheetViews>
  <sheetFormatPr baseColWidth="10" defaultRowHeight="15" x14ac:dyDescent="0.25"/>
  <cols>
    <col min="1" max="1" width="6.28515625" customWidth="1"/>
    <col min="3" max="3" width="13.42578125" customWidth="1"/>
    <col min="4" max="4" width="22" customWidth="1"/>
  </cols>
  <sheetData>
    <row r="2" spans="1:7" ht="23.25" x14ac:dyDescent="0.25">
      <c r="A2" s="51" t="s">
        <v>80</v>
      </c>
      <c r="B2" s="69" t="s">
        <v>81</v>
      </c>
      <c r="C2" s="70"/>
      <c r="D2" s="51" t="s">
        <v>82</v>
      </c>
      <c r="E2" s="48" t="s">
        <v>76</v>
      </c>
      <c r="F2" s="49"/>
      <c r="G2" s="50"/>
    </row>
    <row r="3" spans="1:7" ht="18.75" x14ac:dyDescent="0.25">
      <c r="A3" s="52"/>
      <c r="B3" s="71"/>
      <c r="C3" s="72"/>
      <c r="D3" s="52"/>
      <c r="E3" s="16" t="s">
        <v>77</v>
      </c>
      <c r="F3" s="16" t="s">
        <v>78</v>
      </c>
      <c r="G3" s="16" t="s">
        <v>79</v>
      </c>
    </row>
    <row r="4" spans="1:7" x14ac:dyDescent="0.25">
      <c r="A4" s="25">
        <v>1</v>
      </c>
      <c r="B4" s="78" t="s">
        <v>942</v>
      </c>
      <c r="C4" s="79" t="s">
        <v>942</v>
      </c>
      <c r="D4" s="28" t="s">
        <v>951</v>
      </c>
      <c r="E4" s="29">
        <v>7</v>
      </c>
      <c r="F4" s="29">
        <v>7</v>
      </c>
      <c r="G4" s="29">
        <f t="shared" ref="G4:G13" si="0">SUM(E4:F4)</f>
        <v>14</v>
      </c>
    </row>
    <row r="5" spans="1:7" x14ac:dyDescent="0.25">
      <c r="A5" s="25">
        <v>2</v>
      </c>
      <c r="B5" s="78" t="s">
        <v>943</v>
      </c>
      <c r="C5" s="79" t="s">
        <v>943</v>
      </c>
      <c r="D5" s="28" t="s">
        <v>952</v>
      </c>
      <c r="E5" s="29">
        <v>5</v>
      </c>
      <c r="F5" s="29">
        <v>3</v>
      </c>
      <c r="G5" s="29">
        <f t="shared" si="0"/>
        <v>8</v>
      </c>
    </row>
    <row r="6" spans="1:7" x14ac:dyDescent="0.25">
      <c r="A6" s="25">
        <v>3</v>
      </c>
      <c r="B6" s="78" t="s">
        <v>944</v>
      </c>
      <c r="C6" s="79" t="s">
        <v>944</v>
      </c>
      <c r="D6" s="28" t="s">
        <v>951</v>
      </c>
      <c r="E6" s="29">
        <v>8</v>
      </c>
      <c r="F6" s="29">
        <v>6</v>
      </c>
      <c r="G6" s="29">
        <f t="shared" si="0"/>
        <v>14</v>
      </c>
    </row>
    <row r="7" spans="1:7" x14ac:dyDescent="0.25">
      <c r="A7" s="25">
        <v>4</v>
      </c>
      <c r="B7" s="78" t="s">
        <v>945</v>
      </c>
      <c r="C7" s="79" t="s">
        <v>945</v>
      </c>
      <c r="D7" s="28" t="s">
        <v>951</v>
      </c>
      <c r="E7" s="29">
        <v>8</v>
      </c>
      <c r="F7" s="29">
        <v>5</v>
      </c>
      <c r="G7" s="29">
        <f t="shared" si="0"/>
        <v>13</v>
      </c>
    </row>
    <row r="8" spans="1:7" x14ac:dyDescent="0.25">
      <c r="A8" s="25">
        <v>5</v>
      </c>
      <c r="B8" s="78" t="s">
        <v>946</v>
      </c>
      <c r="C8" s="79" t="s">
        <v>946</v>
      </c>
      <c r="D8" s="28" t="s">
        <v>953</v>
      </c>
      <c r="E8" s="29">
        <v>5</v>
      </c>
      <c r="F8" s="29">
        <v>3</v>
      </c>
      <c r="G8" s="29">
        <f t="shared" si="0"/>
        <v>8</v>
      </c>
    </row>
    <row r="9" spans="1:7" x14ac:dyDescent="0.25">
      <c r="A9" s="25">
        <v>6</v>
      </c>
      <c r="B9" s="78" t="s">
        <v>947</v>
      </c>
      <c r="C9" s="79" t="s">
        <v>947</v>
      </c>
      <c r="D9" s="28" t="s">
        <v>954</v>
      </c>
      <c r="E9" s="29">
        <v>4</v>
      </c>
      <c r="F9" s="29">
        <v>3</v>
      </c>
      <c r="G9" s="29">
        <f t="shared" si="0"/>
        <v>7</v>
      </c>
    </row>
    <row r="10" spans="1:7" x14ac:dyDescent="0.25">
      <c r="A10" s="25">
        <v>7</v>
      </c>
      <c r="B10" s="78" t="s">
        <v>948</v>
      </c>
      <c r="C10" s="79" t="s">
        <v>948</v>
      </c>
      <c r="D10" s="28" t="s">
        <v>955</v>
      </c>
      <c r="E10" s="29">
        <v>6</v>
      </c>
      <c r="F10" s="29">
        <v>5</v>
      </c>
      <c r="G10" s="29">
        <f t="shared" si="0"/>
        <v>11</v>
      </c>
    </row>
    <row r="11" spans="1:7" x14ac:dyDescent="0.25">
      <c r="A11" s="25">
        <v>8</v>
      </c>
      <c r="B11" s="78" t="s">
        <v>949</v>
      </c>
      <c r="C11" s="79" t="s">
        <v>949</v>
      </c>
      <c r="D11" s="28" t="s">
        <v>956</v>
      </c>
      <c r="E11" s="29">
        <v>3</v>
      </c>
      <c r="F11" s="29">
        <v>2</v>
      </c>
      <c r="G11" s="29">
        <f t="shared" si="0"/>
        <v>5</v>
      </c>
    </row>
    <row r="12" spans="1:7" x14ac:dyDescent="0.25">
      <c r="A12" s="25">
        <v>9</v>
      </c>
      <c r="B12" s="78" t="s">
        <v>950</v>
      </c>
      <c r="C12" s="79" t="s">
        <v>950</v>
      </c>
      <c r="D12" s="28" t="s">
        <v>957</v>
      </c>
      <c r="E12" s="29">
        <v>4</v>
      </c>
      <c r="F12" s="29">
        <v>3</v>
      </c>
      <c r="G12" s="29">
        <f t="shared" si="0"/>
        <v>7</v>
      </c>
    </row>
    <row r="13" spans="1:7" x14ac:dyDescent="0.25">
      <c r="A13" s="66" t="s">
        <v>71</v>
      </c>
      <c r="B13" s="67"/>
      <c r="C13" s="67"/>
      <c r="D13" s="68"/>
      <c r="E13" s="29">
        <f>SUM(E4:E12)</f>
        <v>50</v>
      </c>
      <c r="F13" s="29">
        <f>SUM(F4:F12)</f>
        <v>37</v>
      </c>
      <c r="G13" s="29">
        <f t="shared" si="0"/>
        <v>87</v>
      </c>
    </row>
  </sheetData>
  <mergeCells count="14">
    <mergeCell ref="A13:D13"/>
    <mergeCell ref="B12:C12"/>
    <mergeCell ref="B6:C6"/>
    <mergeCell ref="B7:C7"/>
    <mergeCell ref="B8:C8"/>
    <mergeCell ref="B9:C9"/>
    <mergeCell ref="B10:C10"/>
    <mergeCell ref="B11:C11"/>
    <mergeCell ref="B5:C5"/>
    <mergeCell ref="A2:A3"/>
    <mergeCell ref="B2:C3"/>
    <mergeCell ref="D2:D3"/>
    <mergeCell ref="E2:G2"/>
    <mergeCell ref="B4:C4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1C972-9DA0-488F-963B-289B87ED7141}">
  <dimension ref="A2:G21"/>
  <sheetViews>
    <sheetView rightToLeft="1" workbookViewId="0">
      <selection activeCell="M7" sqref="M7"/>
    </sheetView>
  </sheetViews>
  <sheetFormatPr baseColWidth="10" defaultRowHeight="15" x14ac:dyDescent="0.25"/>
  <cols>
    <col min="1" max="1" width="6.28515625" customWidth="1"/>
    <col min="3" max="3" width="13.42578125" customWidth="1"/>
    <col min="4" max="4" width="22" customWidth="1"/>
  </cols>
  <sheetData>
    <row r="2" spans="1:7" ht="23.25" x14ac:dyDescent="0.25">
      <c r="A2" s="51" t="s">
        <v>80</v>
      </c>
      <c r="B2" s="69" t="s">
        <v>81</v>
      </c>
      <c r="C2" s="70"/>
      <c r="D2" s="51" t="s">
        <v>82</v>
      </c>
      <c r="E2" s="48" t="s">
        <v>76</v>
      </c>
      <c r="F2" s="49"/>
      <c r="G2" s="50"/>
    </row>
    <row r="3" spans="1:7" ht="18.75" x14ac:dyDescent="0.25">
      <c r="A3" s="52"/>
      <c r="B3" s="71"/>
      <c r="C3" s="72"/>
      <c r="D3" s="52"/>
      <c r="E3" s="16" t="s">
        <v>77</v>
      </c>
      <c r="F3" s="16" t="s">
        <v>78</v>
      </c>
      <c r="G3" s="16" t="s">
        <v>79</v>
      </c>
    </row>
    <row r="4" spans="1:7" x14ac:dyDescent="0.25">
      <c r="A4" s="25">
        <v>1</v>
      </c>
      <c r="B4" s="64" t="s">
        <v>958</v>
      </c>
      <c r="C4" s="65" t="s">
        <v>958</v>
      </c>
      <c r="D4" s="28" t="s">
        <v>975</v>
      </c>
      <c r="E4" s="29">
        <v>6</v>
      </c>
      <c r="F4" s="29">
        <v>0</v>
      </c>
      <c r="G4" s="29">
        <f t="shared" ref="G4:G21" si="0">SUM(E4:F4)</f>
        <v>6</v>
      </c>
    </row>
    <row r="5" spans="1:7" x14ac:dyDescent="0.25">
      <c r="A5" s="25">
        <v>2</v>
      </c>
      <c r="B5" s="64" t="s">
        <v>959</v>
      </c>
      <c r="C5" s="65" t="s">
        <v>959</v>
      </c>
      <c r="D5" s="28" t="s">
        <v>976</v>
      </c>
      <c r="E5" s="29">
        <v>7</v>
      </c>
      <c r="F5" s="29">
        <v>0</v>
      </c>
      <c r="G5" s="29">
        <f t="shared" si="0"/>
        <v>7</v>
      </c>
    </row>
    <row r="6" spans="1:7" x14ac:dyDescent="0.25">
      <c r="A6" s="25">
        <v>3</v>
      </c>
      <c r="B6" s="64" t="s">
        <v>960</v>
      </c>
      <c r="C6" s="65" t="s">
        <v>960</v>
      </c>
      <c r="D6" s="28" t="s">
        <v>977</v>
      </c>
      <c r="E6" s="29">
        <v>4</v>
      </c>
      <c r="F6" s="29">
        <v>4</v>
      </c>
      <c r="G6" s="29">
        <f t="shared" si="0"/>
        <v>8</v>
      </c>
    </row>
    <row r="7" spans="1:7" x14ac:dyDescent="0.25">
      <c r="A7" s="25">
        <v>4</v>
      </c>
      <c r="B7" s="64" t="s">
        <v>961</v>
      </c>
      <c r="C7" s="65" t="s">
        <v>961</v>
      </c>
      <c r="D7" s="28" t="s">
        <v>978</v>
      </c>
      <c r="E7" s="29">
        <v>4</v>
      </c>
      <c r="F7" s="29">
        <v>3</v>
      </c>
      <c r="G7" s="29">
        <f t="shared" si="0"/>
        <v>7</v>
      </c>
    </row>
    <row r="8" spans="1:7" x14ac:dyDescent="0.25">
      <c r="A8" s="25">
        <v>5</v>
      </c>
      <c r="B8" s="64" t="s">
        <v>962</v>
      </c>
      <c r="C8" s="65" t="s">
        <v>962</v>
      </c>
      <c r="D8" s="28" t="s">
        <v>979</v>
      </c>
      <c r="E8" s="29">
        <v>4</v>
      </c>
      <c r="F8" s="29">
        <v>4</v>
      </c>
      <c r="G8" s="29">
        <f t="shared" si="0"/>
        <v>8</v>
      </c>
    </row>
    <row r="9" spans="1:7" x14ac:dyDescent="0.25">
      <c r="A9" s="25">
        <v>6</v>
      </c>
      <c r="B9" s="64" t="s">
        <v>963</v>
      </c>
      <c r="C9" s="65" t="s">
        <v>963</v>
      </c>
      <c r="D9" s="28" t="s">
        <v>980</v>
      </c>
      <c r="E9" s="29"/>
      <c r="F9" s="29">
        <v>2</v>
      </c>
      <c r="G9" s="29">
        <f t="shared" si="0"/>
        <v>2</v>
      </c>
    </row>
    <row r="10" spans="1:7" x14ac:dyDescent="0.25">
      <c r="A10" s="25">
        <v>7</v>
      </c>
      <c r="B10" s="64" t="s">
        <v>964</v>
      </c>
      <c r="C10" s="65" t="s">
        <v>964</v>
      </c>
      <c r="D10" s="28" t="s">
        <v>981</v>
      </c>
      <c r="E10" s="29">
        <v>6</v>
      </c>
      <c r="F10" s="29">
        <v>0</v>
      </c>
      <c r="G10" s="29">
        <f t="shared" si="0"/>
        <v>6</v>
      </c>
    </row>
    <row r="11" spans="1:7" x14ac:dyDescent="0.25">
      <c r="A11" s="25">
        <v>8</v>
      </c>
      <c r="B11" s="64" t="s">
        <v>965</v>
      </c>
      <c r="C11" s="65" t="s">
        <v>965</v>
      </c>
      <c r="D11" s="28" t="s">
        <v>871</v>
      </c>
      <c r="E11" s="29"/>
      <c r="F11" s="29">
        <v>5</v>
      </c>
      <c r="G11" s="29">
        <f t="shared" si="0"/>
        <v>5</v>
      </c>
    </row>
    <row r="12" spans="1:7" x14ac:dyDescent="0.25">
      <c r="A12" s="25">
        <v>9</v>
      </c>
      <c r="B12" s="64" t="s">
        <v>966</v>
      </c>
      <c r="C12" s="65" t="s">
        <v>966</v>
      </c>
      <c r="D12" s="28" t="s">
        <v>982</v>
      </c>
      <c r="E12" s="29"/>
      <c r="F12" s="29">
        <v>7</v>
      </c>
      <c r="G12" s="29">
        <f t="shared" si="0"/>
        <v>7</v>
      </c>
    </row>
    <row r="13" spans="1:7" x14ac:dyDescent="0.25">
      <c r="A13" s="25">
        <v>10</v>
      </c>
      <c r="B13" s="64" t="s">
        <v>967</v>
      </c>
      <c r="C13" s="65" t="s">
        <v>967</v>
      </c>
      <c r="D13" s="28" t="s">
        <v>983</v>
      </c>
      <c r="E13" s="29">
        <v>2</v>
      </c>
      <c r="F13" s="29">
        <v>1</v>
      </c>
      <c r="G13" s="29">
        <f t="shared" si="0"/>
        <v>3</v>
      </c>
    </row>
    <row r="14" spans="1:7" x14ac:dyDescent="0.25">
      <c r="A14" s="25">
        <v>11</v>
      </c>
      <c r="B14" s="64" t="s">
        <v>968</v>
      </c>
      <c r="C14" s="65" t="s">
        <v>968</v>
      </c>
      <c r="D14" s="28" t="s">
        <v>984</v>
      </c>
      <c r="E14" s="29">
        <v>2</v>
      </c>
      <c r="F14" s="29">
        <v>2</v>
      </c>
      <c r="G14" s="29">
        <f t="shared" si="0"/>
        <v>4</v>
      </c>
    </row>
    <row r="15" spans="1:7" x14ac:dyDescent="0.25">
      <c r="A15" s="25">
        <v>12</v>
      </c>
      <c r="B15" s="64" t="s">
        <v>969</v>
      </c>
      <c r="C15" s="65" t="s">
        <v>969</v>
      </c>
      <c r="D15" s="28" t="s">
        <v>985</v>
      </c>
      <c r="E15" s="29">
        <v>4</v>
      </c>
      <c r="F15" s="29">
        <v>3</v>
      </c>
      <c r="G15" s="29">
        <f t="shared" si="0"/>
        <v>7</v>
      </c>
    </row>
    <row r="16" spans="1:7" x14ac:dyDescent="0.25">
      <c r="A16" s="25">
        <v>13</v>
      </c>
      <c r="B16" s="64" t="s">
        <v>970</v>
      </c>
      <c r="C16" s="65" t="s">
        <v>970</v>
      </c>
      <c r="D16" s="28" t="s">
        <v>975</v>
      </c>
      <c r="E16" s="29"/>
      <c r="F16" s="29">
        <v>5</v>
      </c>
      <c r="G16" s="29">
        <f t="shared" si="0"/>
        <v>5</v>
      </c>
    </row>
    <row r="17" spans="1:7" x14ac:dyDescent="0.25">
      <c r="A17" s="25">
        <v>14</v>
      </c>
      <c r="B17" s="64" t="s">
        <v>971</v>
      </c>
      <c r="C17" s="65" t="s">
        <v>971</v>
      </c>
      <c r="D17" s="28" t="s">
        <v>986</v>
      </c>
      <c r="E17" s="29">
        <v>7</v>
      </c>
      <c r="F17" s="29">
        <v>0</v>
      </c>
      <c r="G17" s="29">
        <f t="shared" si="0"/>
        <v>7</v>
      </c>
    </row>
    <row r="18" spans="1:7" x14ac:dyDescent="0.25">
      <c r="A18" s="25">
        <v>15</v>
      </c>
      <c r="B18" s="64" t="s">
        <v>972</v>
      </c>
      <c r="C18" s="65" t="s">
        <v>972</v>
      </c>
      <c r="D18" s="28" t="s">
        <v>987</v>
      </c>
      <c r="E18" s="29">
        <v>4</v>
      </c>
      <c r="F18" s="29">
        <v>4</v>
      </c>
      <c r="G18" s="29">
        <f t="shared" si="0"/>
        <v>8</v>
      </c>
    </row>
    <row r="19" spans="1:7" x14ac:dyDescent="0.25">
      <c r="A19" s="25">
        <v>16</v>
      </c>
      <c r="B19" s="64" t="s">
        <v>973</v>
      </c>
      <c r="C19" s="65" t="s">
        <v>973</v>
      </c>
      <c r="D19" s="28" t="s">
        <v>988</v>
      </c>
      <c r="E19" s="29">
        <v>3</v>
      </c>
      <c r="F19" s="29">
        <v>3</v>
      </c>
      <c r="G19" s="29">
        <f t="shared" si="0"/>
        <v>6</v>
      </c>
    </row>
    <row r="20" spans="1:7" x14ac:dyDescent="0.25">
      <c r="A20" s="25">
        <v>17</v>
      </c>
      <c r="B20" s="64" t="s">
        <v>974</v>
      </c>
      <c r="C20" s="65" t="s">
        <v>974</v>
      </c>
      <c r="D20" s="28" t="s">
        <v>986</v>
      </c>
      <c r="E20" s="29"/>
      <c r="F20" s="29">
        <v>6</v>
      </c>
      <c r="G20" s="29">
        <f t="shared" si="0"/>
        <v>6</v>
      </c>
    </row>
    <row r="21" spans="1:7" x14ac:dyDescent="0.25">
      <c r="A21" s="66" t="s">
        <v>71</v>
      </c>
      <c r="B21" s="67"/>
      <c r="C21" s="67"/>
      <c r="D21" s="68"/>
      <c r="E21" s="29">
        <f>SUM(E4:E20)</f>
        <v>53</v>
      </c>
      <c r="F21" s="29">
        <f>SUM(F4:F20)</f>
        <v>49</v>
      </c>
      <c r="G21" s="29">
        <f t="shared" si="0"/>
        <v>102</v>
      </c>
    </row>
  </sheetData>
  <mergeCells count="22">
    <mergeCell ref="B20:C20"/>
    <mergeCell ref="A21:D21"/>
    <mergeCell ref="B9:C9"/>
    <mergeCell ref="B10:C10"/>
    <mergeCell ref="B11:C11"/>
    <mergeCell ref="B12:C12"/>
    <mergeCell ref="B13:C13"/>
    <mergeCell ref="B14:C14"/>
    <mergeCell ref="B15:C15"/>
    <mergeCell ref="B16:C16"/>
    <mergeCell ref="B19:C19"/>
    <mergeCell ref="B6:C6"/>
    <mergeCell ref="B7:C7"/>
    <mergeCell ref="B8:C8"/>
    <mergeCell ref="B17:C17"/>
    <mergeCell ref="B18:C18"/>
    <mergeCell ref="B5:C5"/>
    <mergeCell ref="A2:A3"/>
    <mergeCell ref="B2:C3"/>
    <mergeCell ref="D2:D3"/>
    <mergeCell ref="E2:G2"/>
    <mergeCell ref="B4:C4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7585B-4903-47DC-8CBE-1D1E3A9F3470}">
  <dimension ref="A2:G19"/>
  <sheetViews>
    <sheetView rightToLeft="1" workbookViewId="0">
      <selection activeCell="E4" sqref="E4:G19"/>
    </sheetView>
  </sheetViews>
  <sheetFormatPr baseColWidth="10" defaultRowHeight="15" x14ac:dyDescent="0.25"/>
  <cols>
    <col min="1" max="1" width="6.28515625" customWidth="1"/>
    <col min="3" max="3" width="14.7109375" customWidth="1"/>
    <col min="4" max="4" width="22" customWidth="1"/>
  </cols>
  <sheetData>
    <row r="2" spans="1:7" ht="23.25" x14ac:dyDescent="0.25">
      <c r="A2" s="51" t="s">
        <v>80</v>
      </c>
      <c r="B2" s="69" t="s">
        <v>81</v>
      </c>
      <c r="C2" s="70"/>
      <c r="D2" s="51" t="s">
        <v>82</v>
      </c>
      <c r="E2" s="48" t="s">
        <v>76</v>
      </c>
      <c r="F2" s="49"/>
      <c r="G2" s="50"/>
    </row>
    <row r="3" spans="1:7" ht="18.75" x14ac:dyDescent="0.25">
      <c r="A3" s="52"/>
      <c r="B3" s="71"/>
      <c r="C3" s="72"/>
      <c r="D3" s="52"/>
      <c r="E3" s="16" t="s">
        <v>77</v>
      </c>
      <c r="F3" s="16" t="s">
        <v>78</v>
      </c>
      <c r="G3" s="16" t="s">
        <v>79</v>
      </c>
    </row>
    <row r="4" spans="1:7" x14ac:dyDescent="0.25">
      <c r="A4" s="25">
        <v>1</v>
      </c>
      <c r="B4" s="78" t="s">
        <v>989</v>
      </c>
      <c r="C4" s="79" t="s">
        <v>989</v>
      </c>
      <c r="D4" s="28" t="s">
        <v>1003</v>
      </c>
      <c r="E4" s="29">
        <v>5</v>
      </c>
      <c r="F4" s="29">
        <v>7</v>
      </c>
      <c r="G4" s="29">
        <f t="shared" ref="G4:G19" si="0">SUM(E4:F4)</f>
        <v>12</v>
      </c>
    </row>
    <row r="5" spans="1:7" x14ac:dyDescent="0.25">
      <c r="A5" s="25">
        <v>2</v>
      </c>
      <c r="B5" s="78" t="s">
        <v>990</v>
      </c>
      <c r="C5" s="79" t="s">
        <v>990</v>
      </c>
      <c r="D5" s="28" t="s">
        <v>1004</v>
      </c>
      <c r="E5" s="29">
        <v>3</v>
      </c>
      <c r="F5" s="29">
        <v>3</v>
      </c>
      <c r="G5" s="29">
        <f t="shared" si="0"/>
        <v>6</v>
      </c>
    </row>
    <row r="6" spans="1:7" x14ac:dyDescent="0.25">
      <c r="A6" s="25">
        <v>3</v>
      </c>
      <c r="B6" s="78" t="s">
        <v>991</v>
      </c>
      <c r="C6" s="79" t="s">
        <v>991</v>
      </c>
      <c r="D6" s="28" t="s">
        <v>1005</v>
      </c>
      <c r="E6" s="29">
        <v>5</v>
      </c>
      <c r="F6" s="29">
        <v>3</v>
      </c>
      <c r="G6" s="29">
        <f t="shared" si="0"/>
        <v>8</v>
      </c>
    </row>
    <row r="7" spans="1:7" x14ac:dyDescent="0.25">
      <c r="A7" s="25">
        <v>4</v>
      </c>
      <c r="B7" s="78" t="s">
        <v>992</v>
      </c>
      <c r="C7" s="79" t="s">
        <v>992</v>
      </c>
      <c r="D7" s="28" t="s">
        <v>938</v>
      </c>
      <c r="E7" s="29">
        <v>2</v>
      </c>
      <c r="F7" s="29">
        <v>2</v>
      </c>
      <c r="G7" s="29">
        <f t="shared" si="0"/>
        <v>4</v>
      </c>
    </row>
    <row r="8" spans="1:7" x14ac:dyDescent="0.25">
      <c r="A8" s="25">
        <v>5</v>
      </c>
      <c r="B8" s="78" t="s">
        <v>993</v>
      </c>
      <c r="C8" s="79" t="s">
        <v>993</v>
      </c>
      <c r="D8" s="28" t="s">
        <v>1006</v>
      </c>
      <c r="E8" s="29">
        <v>11</v>
      </c>
      <c r="F8" s="29"/>
      <c r="G8" s="29">
        <f t="shared" si="0"/>
        <v>11</v>
      </c>
    </row>
    <row r="9" spans="1:7" x14ac:dyDescent="0.25">
      <c r="A9" s="25">
        <v>6</v>
      </c>
      <c r="B9" s="66" t="s">
        <v>994</v>
      </c>
      <c r="C9" s="68" t="s">
        <v>994</v>
      </c>
      <c r="D9" s="28" t="s">
        <v>1007</v>
      </c>
      <c r="E9" s="29">
        <v>6</v>
      </c>
      <c r="F9" s="29"/>
      <c r="G9" s="29">
        <f t="shared" si="0"/>
        <v>6</v>
      </c>
    </row>
    <row r="10" spans="1:7" x14ac:dyDescent="0.25">
      <c r="A10" s="25">
        <v>7</v>
      </c>
      <c r="B10" s="66" t="s">
        <v>995</v>
      </c>
      <c r="C10" s="68" t="s">
        <v>995</v>
      </c>
      <c r="D10" s="28" t="s">
        <v>1008</v>
      </c>
      <c r="E10" s="29">
        <v>3</v>
      </c>
      <c r="F10" s="29">
        <v>3</v>
      </c>
      <c r="G10" s="29">
        <f t="shared" si="0"/>
        <v>6</v>
      </c>
    </row>
    <row r="11" spans="1:7" x14ac:dyDescent="0.25">
      <c r="A11" s="25">
        <v>8</v>
      </c>
      <c r="B11" s="66" t="s">
        <v>996</v>
      </c>
      <c r="C11" s="68" t="s">
        <v>996</v>
      </c>
      <c r="D11" s="28" t="s">
        <v>1009</v>
      </c>
      <c r="E11" s="29">
        <v>4</v>
      </c>
      <c r="F11" s="29">
        <v>2</v>
      </c>
      <c r="G11" s="29">
        <f t="shared" si="0"/>
        <v>6</v>
      </c>
    </row>
    <row r="12" spans="1:7" x14ac:dyDescent="0.25">
      <c r="A12" s="25">
        <v>9</v>
      </c>
      <c r="B12" s="66" t="s">
        <v>997</v>
      </c>
      <c r="C12" s="68" t="s">
        <v>997</v>
      </c>
      <c r="D12" s="28" t="s">
        <v>1010</v>
      </c>
      <c r="E12" s="29">
        <v>5</v>
      </c>
      <c r="F12" s="29"/>
      <c r="G12" s="29">
        <f t="shared" si="0"/>
        <v>5</v>
      </c>
    </row>
    <row r="13" spans="1:7" x14ac:dyDescent="0.25">
      <c r="A13" s="25">
        <v>10</v>
      </c>
      <c r="B13" s="66" t="s">
        <v>998</v>
      </c>
      <c r="C13" s="68" t="s">
        <v>998</v>
      </c>
      <c r="D13" s="28" t="s">
        <v>1011</v>
      </c>
      <c r="E13" s="29">
        <v>8</v>
      </c>
      <c r="F13" s="29">
        <v>5</v>
      </c>
      <c r="G13" s="29">
        <f t="shared" si="0"/>
        <v>13</v>
      </c>
    </row>
    <row r="14" spans="1:7" x14ac:dyDescent="0.25">
      <c r="A14" s="25">
        <v>11</v>
      </c>
      <c r="B14" s="66" t="s">
        <v>999</v>
      </c>
      <c r="C14" s="68" t="s">
        <v>999</v>
      </c>
      <c r="D14" s="28" t="s">
        <v>1012</v>
      </c>
      <c r="E14" s="29">
        <v>1</v>
      </c>
      <c r="F14" s="29">
        <v>5</v>
      </c>
      <c r="G14" s="29">
        <f t="shared" si="0"/>
        <v>6</v>
      </c>
    </row>
    <row r="15" spans="1:7" x14ac:dyDescent="0.25">
      <c r="A15" s="25">
        <v>12</v>
      </c>
      <c r="B15" s="66" t="s">
        <v>1000</v>
      </c>
      <c r="C15" s="68" t="s">
        <v>1000</v>
      </c>
      <c r="D15" s="28" t="s">
        <v>1013</v>
      </c>
      <c r="E15" s="29"/>
      <c r="F15" s="29">
        <v>9</v>
      </c>
      <c r="G15" s="29">
        <f t="shared" si="0"/>
        <v>9</v>
      </c>
    </row>
    <row r="16" spans="1:7" x14ac:dyDescent="0.25">
      <c r="A16" s="25">
        <v>13</v>
      </c>
      <c r="B16" s="66" t="s">
        <v>1001</v>
      </c>
      <c r="C16" s="68" t="s">
        <v>1001</v>
      </c>
      <c r="D16" s="28" t="s">
        <v>1014</v>
      </c>
      <c r="E16" s="29">
        <v>6</v>
      </c>
      <c r="F16" s="29">
        <v>4</v>
      </c>
      <c r="G16" s="29">
        <f t="shared" si="0"/>
        <v>10</v>
      </c>
    </row>
    <row r="17" spans="1:7" x14ac:dyDescent="0.25">
      <c r="A17" s="25">
        <v>14</v>
      </c>
      <c r="B17" s="78" t="s">
        <v>1002</v>
      </c>
      <c r="C17" s="79" t="s">
        <v>1002</v>
      </c>
      <c r="D17" s="28" t="s">
        <v>1015</v>
      </c>
      <c r="E17" s="29">
        <v>3</v>
      </c>
      <c r="F17" s="29">
        <v>5</v>
      </c>
      <c r="G17" s="29">
        <f t="shared" si="0"/>
        <v>8</v>
      </c>
    </row>
    <row r="18" spans="1:7" x14ac:dyDescent="0.25">
      <c r="A18" s="25">
        <v>15</v>
      </c>
      <c r="B18" s="78" t="s">
        <v>178</v>
      </c>
      <c r="C18" s="79" t="s">
        <v>178</v>
      </c>
      <c r="D18" s="28" t="s">
        <v>1016</v>
      </c>
      <c r="E18" s="29"/>
      <c r="F18" s="29">
        <v>5</v>
      </c>
      <c r="G18" s="29">
        <f t="shared" si="0"/>
        <v>5</v>
      </c>
    </row>
    <row r="19" spans="1:7" x14ac:dyDescent="0.25">
      <c r="A19" s="66" t="s">
        <v>71</v>
      </c>
      <c r="B19" s="67"/>
      <c r="C19" s="67"/>
      <c r="D19" s="68"/>
      <c r="E19" s="29">
        <f>SUM(E4:E18)</f>
        <v>62</v>
      </c>
      <c r="F19" s="29">
        <f>SUM(F4:F18)</f>
        <v>53</v>
      </c>
      <c r="G19" s="29">
        <f t="shared" si="0"/>
        <v>115</v>
      </c>
    </row>
  </sheetData>
  <mergeCells count="20">
    <mergeCell ref="B18:C18"/>
    <mergeCell ref="A19:D19"/>
    <mergeCell ref="B12:C12"/>
    <mergeCell ref="B13:C13"/>
    <mergeCell ref="B14:C14"/>
    <mergeCell ref="B15:C15"/>
    <mergeCell ref="B16:C16"/>
    <mergeCell ref="B17:C17"/>
    <mergeCell ref="B11:C11"/>
    <mergeCell ref="A2:A3"/>
    <mergeCell ref="B2:C3"/>
    <mergeCell ref="D2:D3"/>
    <mergeCell ref="E2:G2"/>
    <mergeCell ref="B4:C4"/>
    <mergeCell ref="B5:C5"/>
    <mergeCell ref="B6:C6"/>
    <mergeCell ref="B7:C7"/>
    <mergeCell ref="B8:C8"/>
    <mergeCell ref="B9:C9"/>
    <mergeCell ref="B10:C10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82EAE-5E0E-49A0-AB25-D9A936E6ADA5}">
  <dimension ref="A2:G10"/>
  <sheetViews>
    <sheetView rightToLeft="1" workbookViewId="0">
      <selection activeCell="E4" sqref="E4:G9"/>
    </sheetView>
  </sheetViews>
  <sheetFormatPr baseColWidth="10" defaultRowHeight="15" x14ac:dyDescent="0.25"/>
  <cols>
    <col min="1" max="1" width="6.28515625" customWidth="1"/>
    <col min="3" max="3" width="13.42578125" customWidth="1"/>
    <col min="4" max="4" width="22" customWidth="1"/>
  </cols>
  <sheetData>
    <row r="2" spans="1:7" ht="23.25" x14ac:dyDescent="0.25">
      <c r="A2" s="51" t="s">
        <v>80</v>
      </c>
      <c r="B2" s="69" t="s">
        <v>81</v>
      </c>
      <c r="C2" s="70"/>
      <c r="D2" s="51" t="s">
        <v>82</v>
      </c>
      <c r="E2" s="48" t="s">
        <v>76</v>
      </c>
      <c r="F2" s="49"/>
      <c r="G2" s="50"/>
    </row>
    <row r="3" spans="1:7" ht="18.75" x14ac:dyDescent="0.25">
      <c r="A3" s="52"/>
      <c r="B3" s="71"/>
      <c r="C3" s="72"/>
      <c r="D3" s="52"/>
      <c r="E3" s="16" t="s">
        <v>77</v>
      </c>
      <c r="F3" s="16" t="s">
        <v>78</v>
      </c>
      <c r="G3" s="16" t="s">
        <v>79</v>
      </c>
    </row>
    <row r="4" spans="1:7" x14ac:dyDescent="0.25">
      <c r="A4" s="25">
        <v>1</v>
      </c>
      <c r="B4" s="64" t="s">
        <v>1017</v>
      </c>
      <c r="C4" s="65" t="s">
        <v>1017</v>
      </c>
      <c r="D4" s="28" t="s">
        <v>1023</v>
      </c>
      <c r="E4" s="29">
        <v>6</v>
      </c>
      <c r="F4" s="29">
        <v>4</v>
      </c>
      <c r="G4" s="29">
        <f t="shared" ref="G4:G10" si="0">SUM(E4:F4)</f>
        <v>10</v>
      </c>
    </row>
    <row r="5" spans="1:7" x14ac:dyDescent="0.25">
      <c r="A5" s="25">
        <v>2</v>
      </c>
      <c r="B5" s="64" t="s">
        <v>1018</v>
      </c>
      <c r="C5" s="65" t="s">
        <v>1018</v>
      </c>
      <c r="D5" s="28" t="s">
        <v>1024</v>
      </c>
      <c r="E5" s="29">
        <v>10</v>
      </c>
      <c r="F5" s="29">
        <v>2</v>
      </c>
      <c r="G5" s="29">
        <f t="shared" si="0"/>
        <v>12</v>
      </c>
    </row>
    <row r="6" spans="1:7" x14ac:dyDescent="0.25">
      <c r="A6" s="25">
        <v>3</v>
      </c>
      <c r="B6" s="64" t="s">
        <v>1019</v>
      </c>
      <c r="C6" s="65" t="s">
        <v>1019</v>
      </c>
      <c r="D6" s="28" t="s">
        <v>1024</v>
      </c>
      <c r="E6" s="29">
        <v>5</v>
      </c>
      <c r="F6" s="29">
        <v>7</v>
      </c>
      <c r="G6" s="29">
        <f t="shared" si="0"/>
        <v>12</v>
      </c>
    </row>
    <row r="7" spans="1:7" x14ac:dyDescent="0.25">
      <c r="A7" s="25">
        <v>4</v>
      </c>
      <c r="B7" s="64" t="s">
        <v>1020</v>
      </c>
      <c r="C7" s="65" t="s">
        <v>1020</v>
      </c>
      <c r="D7" s="28" t="s">
        <v>1025</v>
      </c>
      <c r="E7" s="29">
        <v>6</v>
      </c>
      <c r="F7" s="29">
        <v>6</v>
      </c>
      <c r="G7" s="29">
        <f t="shared" si="0"/>
        <v>12</v>
      </c>
    </row>
    <row r="8" spans="1:7" x14ac:dyDescent="0.25">
      <c r="A8" s="25">
        <v>5</v>
      </c>
      <c r="B8" s="64" t="s">
        <v>1021</v>
      </c>
      <c r="C8" s="65" t="s">
        <v>1021</v>
      </c>
      <c r="D8" s="28" t="s">
        <v>1026</v>
      </c>
      <c r="E8" s="29">
        <v>6</v>
      </c>
      <c r="F8" s="29">
        <v>9</v>
      </c>
      <c r="G8" s="29">
        <f t="shared" si="0"/>
        <v>15</v>
      </c>
    </row>
    <row r="9" spans="1:7" x14ac:dyDescent="0.25">
      <c r="A9" s="25">
        <v>6</v>
      </c>
      <c r="B9" s="64" t="s">
        <v>1022</v>
      </c>
      <c r="C9" s="65" t="s">
        <v>1022</v>
      </c>
      <c r="D9" s="28" t="s">
        <v>1027</v>
      </c>
      <c r="E9" s="29">
        <v>11</v>
      </c>
      <c r="F9" s="29">
        <v>4</v>
      </c>
      <c r="G9" s="29">
        <f t="shared" si="0"/>
        <v>15</v>
      </c>
    </row>
    <row r="10" spans="1:7" x14ac:dyDescent="0.25">
      <c r="A10" s="66" t="s">
        <v>71</v>
      </c>
      <c r="B10" s="67"/>
      <c r="C10" s="67"/>
      <c r="D10" s="68"/>
      <c r="E10" s="29">
        <f>SUM(E4:E9)</f>
        <v>44</v>
      </c>
      <c r="F10" s="29">
        <f>SUM(F4:F9)</f>
        <v>32</v>
      </c>
      <c r="G10" s="29">
        <f t="shared" si="0"/>
        <v>76</v>
      </c>
    </row>
  </sheetData>
  <mergeCells count="11">
    <mergeCell ref="B6:C6"/>
    <mergeCell ref="B7:C7"/>
    <mergeCell ref="B8:C8"/>
    <mergeCell ref="B9:C9"/>
    <mergeCell ref="A10:D10"/>
    <mergeCell ref="B5:C5"/>
    <mergeCell ref="A2:A3"/>
    <mergeCell ref="B2:C3"/>
    <mergeCell ref="D2:D3"/>
    <mergeCell ref="E2:G2"/>
    <mergeCell ref="B4:C4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BC095-F7DF-454E-8EA6-9DCD6F7EFFE0}">
  <dimension ref="A2:G11"/>
  <sheetViews>
    <sheetView rightToLeft="1" workbookViewId="0">
      <selection activeCell="D17" sqref="D17"/>
    </sheetView>
  </sheetViews>
  <sheetFormatPr baseColWidth="10" defaultRowHeight="15" x14ac:dyDescent="0.25"/>
  <cols>
    <col min="1" max="1" width="6.28515625" customWidth="1"/>
    <col min="3" max="3" width="13.42578125" customWidth="1"/>
    <col min="4" max="4" width="22" customWidth="1"/>
  </cols>
  <sheetData>
    <row r="2" spans="1:7" ht="23.25" x14ac:dyDescent="0.25">
      <c r="A2" s="51" t="s">
        <v>80</v>
      </c>
      <c r="B2" s="69" t="s">
        <v>81</v>
      </c>
      <c r="C2" s="70"/>
      <c r="D2" s="51" t="s">
        <v>82</v>
      </c>
      <c r="E2" s="48" t="s">
        <v>76</v>
      </c>
      <c r="F2" s="49"/>
      <c r="G2" s="50"/>
    </row>
    <row r="3" spans="1:7" ht="18.75" x14ac:dyDescent="0.25">
      <c r="A3" s="52"/>
      <c r="B3" s="71"/>
      <c r="C3" s="72"/>
      <c r="D3" s="52"/>
      <c r="E3" s="16" t="s">
        <v>77</v>
      </c>
      <c r="F3" s="16" t="s">
        <v>78</v>
      </c>
      <c r="G3" s="16" t="s">
        <v>79</v>
      </c>
    </row>
    <row r="4" spans="1:7" x14ac:dyDescent="0.25">
      <c r="A4" s="25">
        <v>1</v>
      </c>
      <c r="B4" s="64" t="s">
        <v>1028</v>
      </c>
      <c r="C4" s="65" t="s">
        <v>1028</v>
      </c>
      <c r="D4" s="28" t="s">
        <v>1035</v>
      </c>
      <c r="E4" s="29">
        <v>7</v>
      </c>
      <c r="F4" s="29">
        <v>6</v>
      </c>
      <c r="G4" s="29">
        <f t="shared" ref="G4:G11" si="0">SUM(E4:F4)</f>
        <v>13</v>
      </c>
    </row>
    <row r="5" spans="1:7" x14ac:dyDescent="0.25">
      <c r="A5" s="25">
        <v>2</v>
      </c>
      <c r="B5" s="64" t="s">
        <v>1029</v>
      </c>
      <c r="C5" s="65" t="s">
        <v>1029</v>
      </c>
      <c r="D5" s="28" t="s">
        <v>1036</v>
      </c>
      <c r="E5" s="29">
        <v>6</v>
      </c>
      <c r="F5" s="29">
        <v>5</v>
      </c>
      <c r="G5" s="29">
        <f t="shared" si="0"/>
        <v>11</v>
      </c>
    </row>
    <row r="6" spans="1:7" x14ac:dyDescent="0.25">
      <c r="A6" s="25">
        <v>3</v>
      </c>
      <c r="B6" s="64" t="s">
        <v>1030</v>
      </c>
      <c r="C6" s="65" t="s">
        <v>1030</v>
      </c>
      <c r="D6" s="28" t="s">
        <v>1037</v>
      </c>
      <c r="E6" s="29">
        <v>4</v>
      </c>
      <c r="F6" s="29">
        <v>4</v>
      </c>
      <c r="G6" s="29">
        <f t="shared" si="0"/>
        <v>8</v>
      </c>
    </row>
    <row r="7" spans="1:7" x14ac:dyDescent="0.25">
      <c r="A7" s="25">
        <v>4</v>
      </c>
      <c r="B7" s="64" t="s">
        <v>1031</v>
      </c>
      <c r="C7" s="65" t="s">
        <v>1031</v>
      </c>
      <c r="D7" s="28" t="s">
        <v>1038</v>
      </c>
      <c r="E7" s="29">
        <v>6</v>
      </c>
      <c r="F7" s="29">
        <v>5</v>
      </c>
      <c r="G7" s="29">
        <f t="shared" si="0"/>
        <v>11</v>
      </c>
    </row>
    <row r="8" spans="1:7" x14ac:dyDescent="0.25">
      <c r="A8" s="25">
        <v>5</v>
      </c>
      <c r="B8" s="64" t="s">
        <v>1032</v>
      </c>
      <c r="C8" s="65" t="s">
        <v>1032</v>
      </c>
      <c r="D8" s="28" t="s">
        <v>1039</v>
      </c>
      <c r="E8" s="29">
        <v>6</v>
      </c>
      <c r="F8" s="29">
        <v>5</v>
      </c>
      <c r="G8" s="29">
        <f t="shared" si="0"/>
        <v>11</v>
      </c>
    </row>
    <row r="9" spans="1:7" x14ac:dyDescent="0.25">
      <c r="A9" s="25">
        <v>6</v>
      </c>
      <c r="B9" s="64" t="s">
        <v>1033</v>
      </c>
      <c r="C9" s="65" t="s">
        <v>1033</v>
      </c>
      <c r="D9" s="28" t="s">
        <v>1040</v>
      </c>
      <c r="E9" s="29">
        <v>7</v>
      </c>
      <c r="F9" s="29">
        <v>2</v>
      </c>
      <c r="G9" s="29">
        <f t="shared" si="0"/>
        <v>9</v>
      </c>
    </row>
    <row r="10" spans="1:7" x14ac:dyDescent="0.25">
      <c r="A10" s="25">
        <v>7</v>
      </c>
      <c r="B10" s="64" t="s">
        <v>1034</v>
      </c>
      <c r="C10" s="65" t="s">
        <v>1034</v>
      </c>
      <c r="D10" s="28" t="s">
        <v>1041</v>
      </c>
      <c r="E10" s="29">
        <v>2</v>
      </c>
      <c r="F10" s="29">
        <v>2</v>
      </c>
      <c r="G10" s="29">
        <f t="shared" si="0"/>
        <v>4</v>
      </c>
    </row>
    <row r="11" spans="1:7" x14ac:dyDescent="0.25">
      <c r="A11" s="66" t="s">
        <v>71</v>
      </c>
      <c r="B11" s="67"/>
      <c r="C11" s="67"/>
      <c r="D11" s="68"/>
      <c r="E11" s="29">
        <f>SUM(E4:E10)</f>
        <v>38</v>
      </c>
      <c r="F11" s="29">
        <f>SUM(F4:F10)</f>
        <v>29</v>
      </c>
      <c r="G11" s="29">
        <f t="shared" si="0"/>
        <v>67</v>
      </c>
    </row>
  </sheetData>
  <mergeCells count="12">
    <mergeCell ref="B6:C6"/>
    <mergeCell ref="B7:C7"/>
    <mergeCell ref="B8:C8"/>
    <mergeCell ref="B10:C10"/>
    <mergeCell ref="A11:D11"/>
    <mergeCell ref="B9:C9"/>
    <mergeCell ref="B5:C5"/>
    <mergeCell ref="A2:A3"/>
    <mergeCell ref="B2:C3"/>
    <mergeCell ref="D2:D3"/>
    <mergeCell ref="E2:G2"/>
    <mergeCell ref="B4:C4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18728-CB96-423B-BDD3-F24F05FFD8E6}">
  <dimension ref="A2:G22"/>
  <sheetViews>
    <sheetView rightToLeft="1" workbookViewId="0">
      <selection activeCell="F25" sqref="F25"/>
    </sheetView>
  </sheetViews>
  <sheetFormatPr baseColWidth="10" defaultRowHeight="15" x14ac:dyDescent="0.25"/>
  <cols>
    <col min="1" max="1" width="6.28515625" customWidth="1"/>
    <col min="4" max="4" width="22" customWidth="1"/>
  </cols>
  <sheetData>
    <row r="2" spans="1:7" ht="23.25" x14ac:dyDescent="0.25">
      <c r="A2" s="51" t="s">
        <v>80</v>
      </c>
      <c r="B2" s="69" t="s">
        <v>81</v>
      </c>
      <c r="C2" s="70"/>
      <c r="D2" s="51" t="s">
        <v>82</v>
      </c>
      <c r="E2" s="48" t="s">
        <v>76</v>
      </c>
      <c r="F2" s="49"/>
      <c r="G2" s="50"/>
    </row>
    <row r="3" spans="1:7" ht="18.75" x14ac:dyDescent="0.25">
      <c r="A3" s="52"/>
      <c r="B3" s="71"/>
      <c r="C3" s="72"/>
      <c r="D3" s="52"/>
      <c r="E3" s="16" t="s">
        <v>77</v>
      </c>
      <c r="F3" s="16" t="s">
        <v>78</v>
      </c>
      <c r="G3" s="16" t="s">
        <v>79</v>
      </c>
    </row>
    <row r="4" spans="1:7" x14ac:dyDescent="0.25">
      <c r="A4" s="25">
        <v>1</v>
      </c>
      <c r="B4" s="64" t="s">
        <v>1042</v>
      </c>
      <c r="C4" s="65" t="s">
        <v>1042</v>
      </c>
      <c r="D4" s="28" t="s">
        <v>1060</v>
      </c>
      <c r="E4" s="29">
        <v>5</v>
      </c>
      <c r="F4" s="29">
        <v>4</v>
      </c>
      <c r="G4" s="29">
        <f t="shared" ref="G4:G22" si="0">SUM(E4:F4)</f>
        <v>9</v>
      </c>
    </row>
    <row r="5" spans="1:7" x14ac:dyDescent="0.25">
      <c r="A5" s="25">
        <v>2</v>
      </c>
      <c r="B5" s="64" t="s">
        <v>1043</v>
      </c>
      <c r="C5" s="65" t="s">
        <v>1043</v>
      </c>
      <c r="D5" s="28" t="s">
        <v>1061</v>
      </c>
      <c r="E5" s="29">
        <v>2</v>
      </c>
      <c r="F5" s="29">
        <v>2</v>
      </c>
      <c r="G5" s="29">
        <f t="shared" si="0"/>
        <v>4</v>
      </c>
    </row>
    <row r="6" spans="1:7" x14ac:dyDescent="0.25">
      <c r="A6" s="25">
        <v>3</v>
      </c>
      <c r="B6" s="64" t="s">
        <v>1044</v>
      </c>
      <c r="C6" s="65" t="s">
        <v>1044</v>
      </c>
      <c r="D6" s="28" t="s">
        <v>1062</v>
      </c>
      <c r="E6" s="29">
        <v>3</v>
      </c>
      <c r="F6" s="29">
        <v>3</v>
      </c>
      <c r="G6" s="29">
        <f t="shared" si="0"/>
        <v>6</v>
      </c>
    </row>
    <row r="7" spans="1:7" x14ac:dyDescent="0.25">
      <c r="A7" s="25">
        <v>4</v>
      </c>
      <c r="B7" s="64" t="s">
        <v>1045</v>
      </c>
      <c r="C7" s="65" t="s">
        <v>1045</v>
      </c>
      <c r="D7" s="28" t="s">
        <v>1063</v>
      </c>
      <c r="E7" s="29">
        <v>5</v>
      </c>
      <c r="F7" s="29">
        <v>5</v>
      </c>
      <c r="G7" s="29">
        <f t="shared" si="0"/>
        <v>10</v>
      </c>
    </row>
    <row r="8" spans="1:7" x14ac:dyDescent="0.25">
      <c r="A8" s="25">
        <v>5</v>
      </c>
      <c r="B8" s="64" t="s">
        <v>1046</v>
      </c>
      <c r="C8" s="65" t="s">
        <v>1046</v>
      </c>
      <c r="D8" s="28" t="s">
        <v>1064</v>
      </c>
      <c r="E8" s="29">
        <v>6</v>
      </c>
      <c r="F8" s="29">
        <v>5</v>
      </c>
      <c r="G8" s="29">
        <f t="shared" si="0"/>
        <v>11</v>
      </c>
    </row>
    <row r="9" spans="1:7" x14ac:dyDescent="0.25">
      <c r="A9" s="25">
        <v>6</v>
      </c>
      <c r="B9" s="64" t="s">
        <v>1047</v>
      </c>
      <c r="C9" s="65" t="s">
        <v>1047</v>
      </c>
      <c r="D9" s="28" t="s">
        <v>1065</v>
      </c>
      <c r="E9" s="29">
        <v>4</v>
      </c>
      <c r="F9" s="29">
        <v>4</v>
      </c>
      <c r="G9" s="29">
        <f t="shared" si="0"/>
        <v>8</v>
      </c>
    </row>
    <row r="10" spans="1:7" x14ac:dyDescent="0.25">
      <c r="A10" s="25">
        <v>7</v>
      </c>
      <c r="B10" s="64" t="s">
        <v>1048</v>
      </c>
      <c r="C10" s="65" t="s">
        <v>1048</v>
      </c>
      <c r="D10" s="28" t="s">
        <v>1066</v>
      </c>
      <c r="E10" s="29">
        <v>4</v>
      </c>
      <c r="F10" s="29">
        <v>4</v>
      </c>
      <c r="G10" s="29">
        <f t="shared" si="0"/>
        <v>8</v>
      </c>
    </row>
    <row r="11" spans="1:7" x14ac:dyDescent="0.25">
      <c r="A11" s="25">
        <v>8</v>
      </c>
      <c r="B11" s="64" t="s">
        <v>1049</v>
      </c>
      <c r="C11" s="65" t="s">
        <v>1049</v>
      </c>
      <c r="D11" s="28" t="s">
        <v>1067</v>
      </c>
      <c r="E11" s="29">
        <v>5</v>
      </c>
      <c r="F11" s="29">
        <v>4</v>
      </c>
      <c r="G11" s="29">
        <f t="shared" si="0"/>
        <v>9</v>
      </c>
    </row>
    <row r="12" spans="1:7" x14ac:dyDescent="0.25">
      <c r="A12" s="25">
        <v>9</v>
      </c>
      <c r="B12" s="64" t="s">
        <v>1050</v>
      </c>
      <c r="C12" s="65" t="s">
        <v>1050</v>
      </c>
      <c r="D12" s="28" t="s">
        <v>1068</v>
      </c>
      <c r="E12" s="29"/>
      <c r="F12" s="29">
        <v>4</v>
      </c>
      <c r="G12" s="29">
        <f t="shared" si="0"/>
        <v>4</v>
      </c>
    </row>
    <row r="13" spans="1:7" x14ac:dyDescent="0.25">
      <c r="A13" s="25">
        <v>10</v>
      </c>
      <c r="B13" s="64" t="s">
        <v>1051</v>
      </c>
      <c r="C13" s="65" t="s">
        <v>1051</v>
      </c>
      <c r="D13" s="28" t="s">
        <v>1069</v>
      </c>
      <c r="E13" s="29">
        <v>4</v>
      </c>
      <c r="F13" s="29">
        <v>4</v>
      </c>
      <c r="G13" s="29">
        <f t="shared" si="0"/>
        <v>8</v>
      </c>
    </row>
    <row r="14" spans="1:7" x14ac:dyDescent="0.25">
      <c r="A14" s="25">
        <v>11</v>
      </c>
      <c r="B14" s="64" t="s">
        <v>1052</v>
      </c>
      <c r="C14" s="65" t="s">
        <v>1052</v>
      </c>
      <c r="D14" s="28" t="s">
        <v>1070</v>
      </c>
      <c r="E14" s="29">
        <v>6</v>
      </c>
      <c r="F14" s="29"/>
      <c r="G14" s="29">
        <f t="shared" si="0"/>
        <v>6</v>
      </c>
    </row>
    <row r="15" spans="1:7" x14ac:dyDescent="0.25">
      <c r="A15" s="25">
        <v>12</v>
      </c>
      <c r="B15" s="64" t="s">
        <v>1053</v>
      </c>
      <c r="C15" s="65" t="s">
        <v>1053</v>
      </c>
      <c r="D15" s="28" t="s">
        <v>1070</v>
      </c>
      <c r="E15" s="29"/>
      <c r="F15" s="29">
        <v>6</v>
      </c>
      <c r="G15" s="29">
        <f t="shared" si="0"/>
        <v>6</v>
      </c>
    </row>
    <row r="16" spans="1:7" x14ac:dyDescent="0.25">
      <c r="A16" s="25">
        <v>13</v>
      </c>
      <c r="B16" s="64" t="s">
        <v>1054</v>
      </c>
      <c r="C16" s="65" t="s">
        <v>1054</v>
      </c>
      <c r="D16" s="28" t="s">
        <v>1071</v>
      </c>
      <c r="E16" s="29">
        <v>7</v>
      </c>
      <c r="F16" s="29"/>
      <c r="G16" s="29">
        <f t="shared" si="0"/>
        <v>7</v>
      </c>
    </row>
    <row r="17" spans="1:7" x14ac:dyDescent="0.25">
      <c r="A17" s="25">
        <v>14</v>
      </c>
      <c r="B17" s="64" t="s">
        <v>1055</v>
      </c>
      <c r="C17" s="65" t="s">
        <v>1055</v>
      </c>
      <c r="D17" s="28" t="s">
        <v>1071</v>
      </c>
      <c r="E17" s="29"/>
      <c r="F17" s="29">
        <v>8</v>
      </c>
      <c r="G17" s="29">
        <f t="shared" si="0"/>
        <v>8</v>
      </c>
    </row>
    <row r="18" spans="1:7" x14ac:dyDescent="0.25">
      <c r="A18" s="25">
        <v>15</v>
      </c>
      <c r="B18" s="64" t="s">
        <v>1056</v>
      </c>
      <c r="C18" s="65" t="s">
        <v>1056</v>
      </c>
      <c r="D18" s="28" t="s">
        <v>1072</v>
      </c>
      <c r="E18" s="29">
        <v>1</v>
      </c>
      <c r="F18" s="29">
        <v>1</v>
      </c>
      <c r="G18" s="29">
        <f t="shared" si="0"/>
        <v>2</v>
      </c>
    </row>
    <row r="19" spans="1:7" x14ac:dyDescent="0.25">
      <c r="A19" s="25">
        <v>16</v>
      </c>
      <c r="B19" s="64" t="s">
        <v>1057</v>
      </c>
      <c r="C19" s="65" t="s">
        <v>1057</v>
      </c>
      <c r="D19" s="28" t="s">
        <v>1073</v>
      </c>
      <c r="E19" s="29">
        <v>6</v>
      </c>
      <c r="F19" s="29">
        <v>0</v>
      </c>
      <c r="G19" s="29">
        <f t="shared" si="0"/>
        <v>6</v>
      </c>
    </row>
    <row r="20" spans="1:7" x14ac:dyDescent="0.25">
      <c r="A20" s="25">
        <v>17</v>
      </c>
      <c r="B20" s="64" t="s">
        <v>1058</v>
      </c>
      <c r="C20" s="65" t="s">
        <v>1058</v>
      </c>
      <c r="D20" s="28" t="s">
        <v>1074</v>
      </c>
      <c r="E20" s="29">
        <v>2</v>
      </c>
      <c r="F20" s="29">
        <v>2</v>
      </c>
      <c r="G20" s="29">
        <f t="shared" si="0"/>
        <v>4</v>
      </c>
    </row>
    <row r="21" spans="1:7" x14ac:dyDescent="0.25">
      <c r="A21" s="25">
        <v>18</v>
      </c>
      <c r="B21" s="64" t="s">
        <v>1059</v>
      </c>
      <c r="C21" s="65" t="s">
        <v>1059</v>
      </c>
      <c r="D21" s="28" t="s">
        <v>1075</v>
      </c>
      <c r="E21" s="29">
        <v>3</v>
      </c>
      <c r="F21" s="29">
        <v>2</v>
      </c>
      <c r="G21" s="29">
        <f t="shared" si="0"/>
        <v>5</v>
      </c>
    </row>
    <row r="22" spans="1:7" x14ac:dyDescent="0.25">
      <c r="A22" s="66" t="s">
        <v>71</v>
      </c>
      <c r="B22" s="67"/>
      <c r="C22" s="67"/>
      <c r="D22" s="68"/>
      <c r="E22" s="27">
        <f>SUM(E4:E21)</f>
        <v>63</v>
      </c>
      <c r="F22" s="27">
        <f>SUM(F4:F21)</f>
        <v>58</v>
      </c>
      <c r="G22" s="27">
        <f t="shared" si="0"/>
        <v>121</v>
      </c>
    </row>
  </sheetData>
  <mergeCells count="23">
    <mergeCell ref="A22:D22"/>
    <mergeCell ref="B18:C18"/>
    <mergeCell ref="B19:C19"/>
    <mergeCell ref="B20:C20"/>
    <mergeCell ref="B21:C21"/>
    <mergeCell ref="B17:C17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5:C5"/>
    <mergeCell ref="A2:A3"/>
    <mergeCell ref="B2:C3"/>
    <mergeCell ref="D2:D3"/>
    <mergeCell ref="E2:G2"/>
    <mergeCell ref="B4:C4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B17BD-FDC7-43DD-8C34-9D7F0955E85F}">
  <dimension ref="A2:G23"/>
  <sheetViews>
    <sheetView rightToLeft="1" workbookViewId="0">
      <selection activeCell="E4" sqref="E4:G22"/>
    </sheetView>
  </sheetViews>
  <sheetFormatPr baseColWidth="10" defaultRowHeight="15" x14ac:dyDescent="0.25"/>
  <cols>
    <col min="1" max="1" width="6.28515625" customWidth="1"/>
    <col min="4" max="4" width="22" customWidth="1"/>
  </cols>
  <sheetData>
    <row r="2" spans="1:7" ht="23.25" x14ac:dyDescent="0.25">
      <c r="A2" s="51" t="s">
        <v>80</v>
      </c>
      <c r="B2" s="69" t="s">
        <v>81</v>
      </c>
      <c r="C2" s="70"/>
      <c r="D2" s="51" t="s">
        <v>82</v>
      </c>
      <c r="E2" s="48" t="s">
        <v>76</v>
      </c>
      <c r="F2" s="49"/>
      <c r="G2" s="50"/>
    </row>
    <row r="3" spans="1:7" ht="18.75" x14ac:dyDescent="0.25">
      <c r="A3" s="52"/>
      <c r="B3" s="71"/>
      <c r="C3" s="72"/>
      <c r="D3" s="52"/>
      <c r="E3" s="16" t="s">
        <v>77</v>
      </c>
      <c r="F3" s="16" t="s">
        <v>78</v>
      </c>
      <c r="G3" s="16" t="s">
        <v>79</v>
      </c>
    </row>
    <row r="4" spans="1:7" x14ac:dyDescent="0.25">
      <c r="A4" s="25">
        <v>1</v>
      </c>
      <c r="B4" s="64" t="s">
        <v>1076</v>
      </c>
      <c r="C4" s="65" t="s">
        <v>1076</v>
      </c>
      <c r="D4" s="28" t="s">
        <v>1095</v>
      </c>
      <c r="E4" s="29">
        <v>9</v>
      </c>
      <c r="F4" s="29"/>
      <c r="G4" s="29">
        <f t="shared" ref="G4:G23" si="0">SUM(E4:F4)</f>
        <v>9</v>
      </c>
    </row>
    <row r="5" spans="1:7" x14ac:dyDescent="0.25">
      <c r="A5" s="25">
        <v>2</v>
      </c>
      <c r="B5" s="64" t="s">
        <v>1077</v>
      </c>
      <c r="C5" s="65" t="s">
        <v>1077</v>
      </c>
      <c r="D5" s="28" t="s">
        <v>1096</v>
      </c>
      <c r="E5" s="29"/>
      <c r="F5" s="29">
        <v>9</v>
      </c>
      <c r="G5" s="29">
        <f t="shared" si="0"/>
        <v>9</v>
      </c>
    </row>
    <row r="6" spans="1:7" x14ac:dyDescent="0.25">
      <c r="A6" s="25">
        <v>3</v>
      </c>
      <c r="B6" s="64" t="s">
        <v>1078</v>
      </c>
      <c r="C6" s="65" t="s">
        <v>1078</v>
      </c>
      <c r="D6" s="28" t="s">
        <v>1097</v>
      </c>
      <c r="E6" s="29">
        <v>6</v>
      </c>
      <c r="F6" s="29"/>
      <c r="G6" s="29">
        <f t="shared" si="0"/>
        <v>6</v>
      </c>
    </row>
    <row r="7" spans="1:7" x14ac:dyDescent="0.25">
      <c r="A7" s="25">
        <v>4</v>
      </c>
      <c r="B7" s="64" t="s">
        <v>1079</v>
      </c>
      <c r="C7" s="65" t="s">
        <v>1079</v>
      </c>
      <c r="D7" s="28" t="s">
        <v>1098</v>
      </c>
      <c r="E7" s="29">
        <v>3</v>
      </c>
      <c r="F7" s="29">
        <v>3</v>
      </c>
      <c r="G7" s="29">
        <f t="shared" si="0"/>
        <v>6</v>
      </c>
    </row>
    <row r="8" spans="1:7" x14ac:dyDescent="0.25">
      <c r="A8" s="25">
        <v>5</v>
      </c>
      <c r="B8" s="64" t="s">
        <v>1080</v>
      </c>
      <c r="C8" s="65" t="s">
        <v>1080</v>
      </c>
      <c r="D8" s="28" t="s">
        <v>1099</v>
      </c>
      <c r="E8" s="29">
        <v>4</v>
      </c>
      <c r="F8" s="29">
        <v>7</v>
      </c>
      <c r="G8" s="29">
        <f t="shared" si="0"/>
        <v>11</v>
      </c>
    </row>
    <row r="9" spans="1:7" x14ac:dyDescent="0.25">
      <c r="A9" s="25">
        <v>6</v>
      </c>
      <c r="B9" s="64" t="s">
        <v>1081</v>
      </c>
      <c r="C9" s="65" t="s">
        <v>1081</v>
      </c>
      <c r="D9" s="28" t="s">
        <v>1100</v>
      </c>
      <c r="E9" s="29">
        <v>7</v>
      </c>
      <c r="F9" s="29"/>
      <c r="G9" s="29">
        <f t="shared" si="0"/>
        <v>7</v>
      </c>
    </row>
    <row r="10" spans="1:7" x14ac:dyDescent="0.25">
      <c r="A10" s="25">
        <v>7</v>
      </c>
      <c r="B10" s="64" t="s">
        <v>1082</v>
      </c>
      <c r="C10" s="65" t="s">
        <v>1082</v>
      </c>
      <c r="D10" s="28" t="s">
        <v>1101</v>
      </c>
      <c r="E10" s="29"/>
      <c r="F10" s="29">
        <v>6</v>
      </c>
      <c r="G10" s="29">
        <f t="shared" si="0"/>
        <v>6</v>
      </c>
    </row>
    <row r="11" spans="1:7" x14ac:dyDescent="0.25">
      <c r="A11" s="25">
        <v>8</v>
      </c>
      <c r="B11" s="64" t="s">
        <v>1083</v>
      </c>
      <c r="C11" s="65" t="s">
        <v>1083</v>
      </c>
      <c r="D11" s="28" t="s">
        <v>1102</v>
      </c>
      <c r="E11" s="29">
        <v>8</v>
      </c>
      <c r="F11" s="29"/>
      <c r="G11" s="29">
        <f t="shared" si="0"/>
        <v>8</v>
      </c>
    </row>
    <row r="12" spans="1:7" x14ac:dyDescent="0.25">
      <c r="A12" s="25">
        <v>9</v>
      </c>
      <c r="B12" s="64" t="s">
        <v>1084</v>
      </c>
      <c r="C12" s="65" t="s">
        <v>1084</v>
      </c>
      <c r="D12" s="28" t="s">
        <v>1102</v>
      </c>
      <c r="E12" s="29"/>
      <c r="F12" s="29">
        <v>9</v>
      </c>
      <c r="G12" s="29">
        <f t="shared" si="0"/>
        <v>9</v>
      </c>
    </row>
    <row r="13" spans="1:7" x14ac:dyDescent="0.25">
      <c r="A13" s="25">
        <v>10</v>
      </c>
      <c r="B13" s="64" t="s">
        <v>1085</v>
      </c>
      <c r="C13" s="65" t="s">
        <v>1085</v>
      </c>
      <c r="D13" s="28" t="s">
        <v>1103</v>
      </c>
      <c r="E13" s="29">
        <v>2</v>
      </c>
      <c r="F13" s="29">
        <v>2</v>
      </c>
      <c r="G13" s="29">
        <f t="shared" si="0"/>
        <v>4</v>
      </c>
    </row>
    <row r="14" spans="1:7" x14ac:dyDescent="0.25">
      <c r="A14" s="25">
        <v>11</v>
      </c>
      <c r="B14" s="64" t="s">
        <v>1086</v>
      </c>
      <c r="C14" s="65" t="s">
        <v>1086</v>
      </c>
      <c r="D14" s="28" t="s">
        <v>1104</v>
      </c>
      <c r="E14" s="29">
        <v>3</v>
      </c>
      <c r="F14" s="29">
        <v>3</v>
      </c>
      <c r="G14" s="29">
        <f t="shared" si="0"/>
        <v>6</v>
      </c>
    </row>
    <row r="15" spans="1:7" x14ac:dyDescent="0.25">
      <c r="A15" s="25">
        <v>12</v>
      </c>
      <c r="B15" s="64" t="s">
        <v>1087</v>
      </c>
      <c r="C15" s="65" t="s">
        <v>1087</v>
      </c>
      <c r="D15" s="28" t="s">
        <v>1104</v>
      </c>
      <c r="E15" s="29">
        <v>3</v>
      </c>
      <c r="F15" s="29">
        <v>3</v>
      </c>
      <c r="G15" s="29">
        <f t="shared" si="0"/>
        <v>6</v>
      </c>
    </row>
    <row r="16" spans="1:7" x14ac:dyDescent="0.25">
      <c r="A16" s="25">
        <v>13</v>
      </c>
      <c r="B16" s="64" t="s">
        <v>1088</v>
      </c>
      <c r="C16" s="65" t="s">
        <v>1088</v>
      </c>
      <c r="D16" s="28" t="s">
        <v>1105</v>
      </c>
      <c r="E16" s="29">
        <v>6</v>
      </c>
      <c r="F16" s="29"/>
      <c r="G16" s="29">
        <f t="shared" si="0"/>
        <v>6</v>
      </c>
    </row>
    <row r="17" spans="1:7" x14ac:dyDescent="0.25">
      <c r="A17" s="25">
        <v>14</v>
      </c>
      <c r="B17" s="64" t="s">
        <v>1089</v>
      </c>
      <c r="C17" s="65" t="s">
        <v>1089</v>
      </c>
      <c r="D17" s="28" t="s">
        <v>1105</v>
      </c>
      <c r="E17" s="29"/>
      <c r="F17" s="29">
        <v>5</v>
      </c>
      <c r="G17" s="29">
        <f t="shared" si="0"/>
        <v>5</v>
      </c>
    </row>
    <row r="18" spans="1:7" x14ac:dyDescent="0.25">
      <c r="A18" s="25">
        <v>15</v>
      </c>
      <c r="B18" s="64" t="s">
        <v>1090</v>
      </c>
      <c r="C18" s="65" t="s">
        <v>1090</v>
      </c>
      <c r="D18" s="28" t="s">
        <v>1106</v>
      </c>
      <c r="E18" s="29">
        <v>4</v>
      </c>
      <c r="F18" s="29">
        <v>3</v>
      </c>
      <c r="G18" s="29">
        <f t="shared" si="0"/>
        <v>7</v>
      </c>
    </row>
    <row r="19" spans="1:7" x14ac:dyDescent="0.25">
      <c r="A19" s="25">
        <v>16</v>
      </c>
      <c r="B19" s="64" t="s">
        <v>1091</v>
      </c>
      <c r="C19" s="65" t="s">
        <v>1091</v>
      </c>
      <c r="D19" s="28" t="s">
        <v>1107</v>
      </c>
      <c r="E19" s="29">
        <v>4</v>
      </c>
      <c r="F19" s="29">
        <v>4</v>
      </c>
      <c r="G19" s="29">
        <f t="shared" si="0"/>
        <v>8</v>
      </c>
    </row>
    <row r="20" spans="1:7" x14ac:dyDescent="0.25">
      <c r="A20" s="25">
        <v>17</v>
      </c>
      <c r="B20" s="64" t="s">
        <v>1092</v>
      </c>
      <c r="C20" s="65" t="s">
        <v>1092</v>
      </c>
      <c r="D20" s="28" t="s">
        <v>1108</v>
      </c>
      <c r="E20" s="29">
        <v>4</v>
      </c>
      <c r="F20" s="29">
        <v>4</v>
      </c>
      <c r="G20" s="29">
        <f t="shared" si="0"/>
        <v>8</v>
      </c>
    </row>
    <row r="21" spans="1:7" x14ac:dyDescent="0.25">
      <c r="A21" s="25">
        <v>18</v>
      </c>
      <c r="B21" s="64" t="s">
        <v>1093</v>
      </c>
      <c r="C21" s="65" t="s">
        <v>1093</v>
      </c>
      <c r="D21" s="28" t="s">
        <v>1109</v>
      </c>
      <c r="E21" s="29">
        <v>3</v>
      </c>
      <c r="F21" s="29">
        <v>3</v>
      </c>
      <c r="G21" s="29">
        <f t="shared" si="0"/>
        <v>6</v>
      </c>
    </row>
    <row r="22" spans="1:7" x14ac:dyDescent="0.25">
      <c r="A22" s="25">
        <v>19</v>
      </c>
      <c r="B22" s="64" t="s">
        <v>1094</v>
      </c>
      <c r="C22" s="65" t="s">
        <v>1094</v>
      </c>
      <c r="D22" s="28" t="s">
        <v>1110</v>
      </c>
      <c r="E22" s="29">
        <v>3</v>
      </c>
      <c r="F22" s="29">
        <v>3</v>
      </c>
      <c r="G22" s="29">
        <f t="shared" si="0"/>
        <v>6</v>
      </c>
    </row>
    <row r="23" spans="1:7" x14ac:dyDescent="0.25">
      <c r="A23" s="66" t="s">
        <v>71</v>
      </c>
      <c r="B23" s="67"/>
      <c r="C23" s="67"/>
      <c r="D23" s="68"/>
      <c r="E23" s="27">
        <f>SUM(E4:E22)</f>
        <v>69</v>
      </c>
      <c r="F23" s="27">
        <f>SUM(F4:F22)</f>
        <v>64</v>
      </c>
      <c r="G23" s="27">
        <f t="shared" si="0"/>
        <v>133</v>
      </c>
    </row>
  </sheetData>
  <mergeCells count="24">
    <mergeCell ref="B18:C18"/>
    <mergeCell ref="B19:C19"/>
    <mergeCell ref="B20:C20"/>
    <mergeCell ref="B22:C22"/>
    <mergeCell ref="A23:D23"/>
    <mergeCell ref="B21:C21"/>
    <mergeCell ref="B17:C17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5:C5"/>
    <mergeCell ref="A2:A3"/>
    <mergeCell ref="B2:C3"/>
    <mergeCell ref="D2:D3"/>
    <mergeCell ref="E2:G2"/>
    <mergeCell ref="B4:C4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2644E-9CB7-4653-A38A-E18E3CC32928}">
  <dimension ref="A2:G12"/>
  <sheetViews>
    <sheetView rightToLeft="1" workbookViewId="0">
      <selection activeCell="F17" sqref="F17"/>
    </sheetView>
  </sheetViews>
  <sheetFormatPr baseColWidth="10" defaultRowHeight="15" x14ac:dyDescent="0.25"/>
  <cols>
    <col min="1" max="1" width="6.28515625" customWidth="1"/>
    <col min="3" max="3" width="13.42578125" customWidth="1"/>
    <col min="4" max="4" width="22" customWidth="1"/>
  </cols>
  <sheetData>
    <row r="2" spans="1:7" ht="23.25" x14ac:dyDescent="0.25">
      <c r="A2" s="51" t="s">
        <v>80</v>
      </c>
      <c r="B2" s="69" t="s">
        <v>81</v>
      </c>
      <c r="C2" s="70"/>
      <c r="D2" s="51" t="s">
        <v>82</v>
      </c>
      <c r="E2" s="48" t="s">
        <v>76</v>
      </c>
      <c r="F2" s="49"/>
      <c r="G2" s="50"/>
    </row>
    <row r="3" spans="1:7" ht="18.75" x14ac:dyDescent="0.25">
      <c r="A3" s="52"/>
      <c r="B3" s="71"/>
      <c r="C3" s="72"/>
      <c r="D3" s="52"/>
      <c r="E3" s="16" t="s">
        <v>77</v>
      </c>
      <c r="F3" s="16" t="s">
        <v>78</v>
      </c>
      <c r="G3" s="16" t="s">
        <v>79</v>
      </c>
    </row>
    <row r="4" spans="1:7" x14ac:dyDescent="0.25">
      <c r="A4" s="25">
        <v>1</v>
      </c>
      <c r="B4" s="78" t="s">
        <v>1111</v>
      </c>
      <c r="C4" s="79" t="s">
        <v>1111</v>
      </c>
      <c r="D4" s="28" t="s">
        <v>1119</v>
      </c>
      <c r="E4" s="29">
        <v>5</v>
      </c>
      <c r="F4" s="29"/>
      <c r="G4" s="29">
        <f t="shared" ref="G4:G12" si="0">SUM(E4:F4)</f>
        <v>5</v>
      </c>
    </row>
    <row r="5" spans="1:7" x14ac:dyDescent="0.25">
      <c r="A5" s="25">
        <v>2</v>
      </c>
      <c r="B5" s="78" t="s">
        <v>1112</v>
      </c>
      <c r="C5" s="79" t="s">
        <v>1112</v>
      </c>
      <c r="D5" s="28" t="s">
        <v>1119</v>
      </c>
      <c r="E5" s="29"/>
      <c r="F5" s="29">
        <v>5</v>
      </c>
      <c r="G5" s="29">
        <f t="shared" si="0"/>
        <v>5</v>
      </c>
    </row>
    <row r="6" spans="1:7" x14ac:dyDescent="0.25">
      <c r="A6" s="25">
        <v>3</v>
      </c>
      <c r="B6" s="78" t="s">
        <v>1113</v>
      </c>
      <c r="C6" s="79" t="s">
        <v>1113</v>
      </c>
      <c r="D6" s="28" t="s">
        <v>1120</v>
      </c>
      <c r="E6" s="29">
        <v>5</v>
      </c>
      <c r="F6" s="29"/>
      <c r="G6" s="29">
        <f t="shared" si="0"/>
        <v>5</v>
      </c>
    </row>
    <row r="7" spans="1:7" x14ac:dyDescent="0.25">
      <c r="A7" s="25">
        <v>4</v>
      </c>
      <c r="B7" s="78" t="s">
        <v>1114</v>
      </c>
      <c r="C7" s="79" t="s">
        <v>1114</v>
      </c>
      <c r="D7" s="28" t="s">
        <v>1121</v>
      </c>
      <c r="E7" s="29">
        <v>5</v>
      </c>
      <c r="F7" s="29">
        <v>6</v>
      </c>
      <c r="G7" s="29">
        <f t="shared" si="0"/>
        <v>11</v>
      </c>
    </row>
    <row r="8" spans="1:7" x14ac:dyDescent="0.25">
      <c r="A8" s="25">
        <v>5</v>
      </c>
      <c r="B8" s="78" t="s">
        <v>1115</v>
      </c>
      <c r="C8" s="79" t="s">
        <v>1115</v>
      </c>
      <c r="D8" s="28" t="s">
        <v>1122</v>
      </c>
      <c r="E8" s="29">
        <v>6</v>
      </c>
      <c r="F8" s="29">
        <v>3</v>
      </c>
      <c r="G8" s="29">
        <f t="shared" si="0"/>
        <v>9</v>
      </c>
    </row>
    <row r="9" spans="1:7" x14ac:dyDescent="0.25">
      <c r="A9" s="25">
        <v>6</v>
      </c>
      <c r="B9" s="78" t="s">
        <v>1116</v>
      </c>
      <c r="C9" s="79" t="s">
        <v>1116</v>
      </c>
      <c r="D9" s="28" t="s">
        <v>1123</v>
      </c>
      <c r="E9" s="29">
        <v>4</v>
      </c>
      <c r="F9" s="29">
        <v>2</v>
      </c>
      <c r="G9" s="29">
        <f t="shared" si="0"/>
        <v>6</v>
      </c>
    </row>
    <row r="10" spans="1:7" x14ac:dyDescent="0.25">
      <c r="A10" s="25">
        <v>7</v>
      </c>
      <c r="B10" s="78" t="s">
        <v>1117</v>
      </c>
      <c r="C10" s="79" t="s">
        <v>1117</v>
      </c>
      <c r="D10" s="28" t="s">
        <v>1124</v>
      </c>
      <c r="E10" s="29">
        <v>3</v>
      </c>
      <c r="F10" s="29">
        <v>3</v>
      </c>
      <c r="G10" s="29">
        <f t="shared" si="0"/>
        <v>6</v>
      </c>
    </row>
    <row r="11" spans="1:7" x14ac:dyDescent="0.25">
      <c r="A11" s="25">
        <v>8</v>
      </c>
      <c r="B11" s="78" t="s">
        <v>1118</v>
      </c>
      <c r="C11" s="79" t="s">
        <v>1118</v>
      </c>
      <c r="D11" s="28" t="s">
        <v>1125</v>
      </c>
      <c r="E11" s="29"/>
      <c r="F11" s="29">
        <v>6</v>
      </c>
      <c r="G11" s="29">
        <f t="shared" si="0"/>
        <v>6</v>
      </c>
    </row>
    <row r="12" spans="1:7" x14ac:dyDescent="0.25">
      <c r="A12" s="66" t="s">
        <v>71</v>
      </c>
      <c r="B12" s="67"/>
      <c r="C12" s="67"/>
      <c r="D12" s="68"/>
      <c r="E12" s="29">
        <f>SUM(E4:E11)</f>
        <v>28</v>
      </c>
      <c r="F12" s="29">
        <f>SUM(F4:F11)</f>
        <v>25</v>
      </c>
      <c r="G12" s="29">
        <f t="shared" si="0"/>
        <v>53</v>
      </c>
    </row>
  </sheetData>
  <mergeCells count="13">
    <mergeCell ref="A12:D12"/>
    <mergeCell ref="B6:C6"/>
    <mergeCell ref="B7:C7"/>
    <mergeCell ref="B8:C8"/>
    <mergeCell ref="B9:C9"/>
    <mergeCell ref="B10:C10"/>
    <mergeCell ref="B11:C11"/>
    <mergeCell ref="B5:C5"/>
    <mergeCell ref="A2:A3"/>
    <mergeCell ref="B2:C3"/>
    <mergeCell ref="D2:D3"/>
    <mergeCell ref="E2:G2"/>
    <mergeCell ref="B4:C4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58855-6E61-408F-9232-44C05DF2FB59}">
  <dimension ref="A2:G11"/>
  <sheetViews>
    <sheetView rightToLeft="1" workbookViewId="0">
      <selection activeCell="F4" sqref="F4:F10"/>
    </sheetView>
  </sheetViews>
  <sheetFormatPr baseColWidth="10" defaultRowHeight="15" x14ac:dyDescent="0.25"/>
  <cols>
    <col min="1" max="1" width="6.28515625" customWidth="1"/>
    <col min="3" max="3" width="13.42578125" customWidth="1"/>
    <col min="4" max="4" width="22" customWidth="1"/>
  </cols>
  <sheetData>
    <row r="2" spans="1:7" ht="23.25" x14ac:dyDescent="0.25">
      <c r="A2" s="51" t="s">
        <v>80</v>
      </c>
      <c r="B2" s="69" t="s">
        <v>81</v>
      </c>
      <c r="C2" s="70"/>
      <c r="D2" s="51" t="s">
        <v>82</v>
      </c>
      <c r="E2" s="48" t="s">
        <v>76</v>
      </c>
      <c r="F2" s="49"/>
      <c r="G2" s="50"/>
    </row>
    <row r="3" spans="1:7" ht="18.75" x14ac:dyDescent="0.25">
      <c r="A3" s="52"/>
      <c r="B3" s="71"/>
      <c r="C3" s="72"/>
      <c r="D3" s="52"/>
      <c r="E3" s="16" t="s">
        <v>77</v>
      </c>
      <c r="F3" s="16" t="s">
        <v>78</v>
      </c>
      <c r="G3" s="16" t="s">
        <v>79</v>
      </c>
    </row>
    <row r="4" spans="1:7" x14ac:dyDescent="0.25">
      <c r="A4" s="25">
        <v>1</v>
      </c>
      <c r="B4" s="78" t="s">
        <v>1126</v>
      </c>
      <c r="C4" s="79" t="s">
        <v>1126</v>
      </c>
      <c r="D4" s="28" t="s">
        <v>1133</v>
      </c>
      <c r="E4" s="29">
        <v>9</v>
      </c>
      <c r="F4" s="29"/>
      <c r="G4" s="29">
        <f t="shared" ref="G4:G11" si="0">SUM(E4:F4)</f>
        <v>9</v>
      </c>
    </row>
    <row r="5" spans="1:7" x14ac:dyDescent="0.25">
      <c r="A5" s="25">
        <v>2</v>
      </c>
      <c r="B5" s="78" t="s">
        <v>1127</v>
      </c>
      <c r="C5" s="79" t="s">
        <v>1127</v>
      </c>
      <c r="D5" s="28" t="s">
        <v>1134</v>
      </c>
      <c r="E5" s="29"/>
      <c r="F5" s="29">
        <v>3</v>
      </c>
      <c r="G5" s="29">
        <f t="shared" si="0"/>
        <v>3</v>
      </c>
    </row>
    <row r="6" spans="1:7" x14ac:dyDescent="0.25">
      <c r="A6" s="25">
        <v>3</v>
      </c>
      <c r="B6" s="78" t="s">
        <v>1128</v>
      </c>
      <c r="C6" s="79" t="s">
        <v>1128</v>
      </c>
      <c r="D6" s="28" t="s">
        <v>1135</v>
      </c>
      <c r="E6" s="29">
        <v>3</v>
      </c>
      <c r="F6" s="29">
        <v>4</v>
      </c>
      <c r="G6" s="29">
        <f t="shared" si="0"/>
        <v>7</v>
      </c>
    </row>
    <row r="7" spans="1:7" x14ac:dyDescent="0.25">
      <c r="A7" s="25">
        <v>4</v>
      </c>
      <c r="B7" s="78" t="s">
        <v>1129</v>
      </c>
      <c r="C7" s="79" t="s">
        <v>1129</v>
      </c>
      <c r="D7" s="28" t="s">
        <v>1136</v>
      </c>
      <c r="E7" s="29">
        <v>4</v>
      </c>
      <c r="F7" s="29"/>
      <c r="G7" s="29">
        <f t="shared" si="0"/>
        <v>4</v>
      </c>
    </row>
    <row r="8" spans="1:7" x14ac:dyDescent="0.25">
      <c r="A8" s="25">
        <v>5</v>
      </c>
      <c r="B8" s="78" t="s">
        <v>1130</v>
      </c>
      <c r="C8" s="79" t="s">
        <v>1130</v>
      </c>
      <c r="D8" s="28" t="s">
        <v>1137</v>
      </c>
      <c r="E8" s="29">
        <v>6</v>
      </c>
      <c r="F8" s="29">
        <v>2</v>
      </c>
      <c r="G8" s="29">
        <f t="shared" si="0"/>
        <v>8</v>
      </c>
    </row>
    <row r="9" spans="1:7" x14ac:dyDescent="0.25">
      <c r="A9" s="25">
        <v>6</v>
      </c>
      <c r="B9" s="78" t="s">
        <v>1131</v>
      </c>
      <c r="C9" s="79" t="s">
        <v>1131</v>
      </c>
      <c r="D9" s="28" t="s">
        <v>1138</v>
      </c>
      <c r="E9" s="29">
        <v>2</v>
      </c>
      <c r="F9" s="29">
        <v>2</v>
      </c>
      <c r="G9" s="29">
        <f t="shared" si="0"/>
        <v>4</v>
      </c>
    </row>
    <row r="10" spans="1:7" x14ac:dyDescent="0.25">
      <c r="A10" s="25">
        <v>7</v>
      </c>
      <c r="B10" s="78" t="s">
        <v>1132</v>
      </c>
      <c r="C10" s="79" t="s">
        <v>1132</v>
      </c>
      <c r="D10" s="28" t="s">
        <v>1138</v>
      </c>
      <c r="E10" s="29">
        <v>2</v>
      </c>
      <c r="F10" s="29">
        <v>3</v>
      </c>
      <c r="G10" s="29">
        <f t="shared" si="0"/>
        <v>5</v>
      </c>
    </row>
    <row r="11" spans="1:7" x14ac:dyDescent="0.25">
      <c r="A11" s="66" t="s">
        <v>71</v>
      </c>
      <c r="B11" s="67"/>
      <c r="C11" s="67"/>
      <c r="D11" s="68"/>
      <c r="E11" s="29">
        <f>SUM(E4:E10)</f>
        <v>26</v>
      </c>
      <c r="F11" s="29">
        <f>SUM(F4:F10)</f>
        <v>14</v>
      </c>
      <c r="G11" s="29">
        <f t="shared" si="0"/>
        <v>40</v>
      </c>
    </row>
  </sheetData>
  <mergeCells count="12">
    <mergeCell ref="A11:D11"/>
    <mergeCell ref="B6:C6"/>
    <mergeCell ref="B7:C7"/>
    <mergeCell ref="B8:C8"/>
    <mergeCell ref="B9:C9"/>
    <mergeCell ref="B10:C10"/>
    <mergeCell ref="B5:C5"/>
    <mergeCell ref="A2:A3"/>
    <mergeCell ref="B2:C3"/>
    <mergeCell ref="D2:D3"/>
    <mergeCell ref="E2:G2"/>
    <mergeCell ref="B4:C4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F7A94-97DF-498B-8BEA-A7BBFD15CBCF}">
  <dimension ref="A2:G17"/>
  <sheetViews>
    <sheetView rightToLeft="1" workbookViewId="0">
      <selection activeCell="F23" sqref="F23"/>
    </sheetView>
  </sheetViews>
  <sheetFormatPr baseColWidth="10" defaultRowHeight="15" x14ac:dyDescent="0.25"/>
  <cols>
    <col min="1" max="1" width="6.28515625" customWidth="1"/>
    <col min="3" max="3" width="16" customWidth="1"/>
    <col min="4" max="4" width="22" customWidth="1"/>
  </cols>
  <sheetData>
    <row r="2" spans="1:7" ht="23.25" x14ac:dyDescent="0.25">
      <c r="A2" s="51" t="s">
        <v>80</v>
      </c>
      <c r="B2" s="69" t="s">
        <v>81</v>
      </c>
      <c r="C2" s="70"/>
      <c r="D2" s="51" t="s">
        <v>82</v>
      </c>
      <c r="E2" s="48" t="s">
        <v>76</v>
      </c>
      <c r="F2" s="49"/>
      <c r="G2" s="50"/>
    </row>
    <row r="3" spans="1:7" ht="18.75" x14ac:dyDescent="0.25">
      <c r="A3" s="52"/>
      <c r="B3" s="71"/>
      <c r="C3" s="72"/>
      <c r="D3" s="52"/>
      <c r="E3" s="16" t="s">
        <v>77</v>
      </c>
      <c r="F3" s="16" t="s">
        <v>78</v>
      </c>
      <c r="G3" s="16" t="s">
        <v>79</v>
      </c>
    </row>
    <row r="4" spans="1:7" x14ac:dyDescent="0.25">
      <c r="A4" s="25">
        <v>1</v>
      </c>
      <c r="B4" s="64" t="s">
        <v>1139</v>
      </c>
      <c r="C4" s="65" t="s">
        <v>1139</v>
      </c>
      <c r="D4" s="28" t="s">
        <v>1151</v>
      </c>
      <c r="E4" s="29">
        <v>2</v>
      </c>
      <c r="F4" s="26">
        <v>2</v>
      </c>
      <c r="G4" s="29">
        <f t="shared" ref="G4:G17" si="0">SUM(E4:F4)</f>
        <v>4</v>
      </c>
    </row>
    <row r="5" spans="1:7" x14ac:dyDescent="0.25">
      <c r="A5" s="25">
        <v>2</v>
      </c>
      <c r="B5" s="64" t="s">
        <v>730</v>
      </c>
      <c r="C5" s="65" t="s">
        <v>730</v>
      </c>
      <c r="D5" s="28" t="s">
        <v>1152</v>
      </c>
      <c r="E5" s="29">
        <v>2</v>
      </c>
      <c r="F5" s="26">
        <v>2</v>
      </c>
      <c r="G5" s="29">
        <f t="shared" si="0"/>
        <v>4</v>
      </c>
    </row>
    <row r="6" spans="1:7" x14ac:dyDescent="0.25">
      <c r="A6" s="25">
        <v>3</v>
      </c>
      <c r="B6" s="64" t="s">
        <v>1140</v>
      </c>
      <c r="C6" s="65" t="s">
        <v>1140</v>
      </c>
      <c r="D6" s="28" t="s">
        <v>1153</v>
      </c>
      <c r="E6" s="29">
        <v>4</v>
      </c>
      <c r="F6" s="26">
        <v>3</v>
      </c>
      <c r="G6" s="29">
        <f t="shared" si="0"/>
        <v>7</v>
      </c>
    </row>
    <row r="7" spans="1:7" x14ac:dyDescent="0.25">
      <c r="A7" s="25">
        <v>4</v>
      </c>
      <c r="B7" s="64" t="s">
        <v>1141</v>
      </c>
      <c r="C7" s="65" t="s">
        <v>1141</v>
      </c>
      <c r="D7" s="28" t="s">
        <v>1154</v>
      </c>
      <c r="E7" s="29">
        <v>10</v>
      </c>
      <c r="F7" s="26">
        <v>0</v>
      </c>
      <c r="G7" s="29">
        <f t="shared" si="0"/>
        <v>10</v>
      </c>
    </row>
    <row r="8" spans="1:7" x14ac:dyDescent="0.25">
      <c r="A8" s="25">
        <v>5</v>
      </c>
      <c r="B8" s="64" t="s">
        <v>1142</v>
      </c>
      <c r="C8" s="65" t="s">
        <v>1142</v>
      </c>
      <c r="D8" s="28" t="s">
        <v>1155</v>
      </c>
      <c r="E8" s="29">
        <v>3</v>
      </c>
      <c r="F8" s="26">
        <v>3</v>
      </c>
      <c r="G8" s="29">
        <f t="shared" si="0"/>
        <v>6</v>
      </c>
    </row>
    <row r="9" spans="1:7" x14ac:dyDescent="0.25">
      <c r="A9" s="25">
        <v>6</v>
      </c>
      <c r="B9" s="64" t="s">
        <v>1143</v>
      </c>
      <c r="C9" s="65" t="s">
        <v>1143</v>
      </c>
      <c r="D9" s="28" t="s">
        <v>1156</v>
      </c>
      <c r="E9" s="29">
        <v>14</v>
      </c>
      <c r="F9" s="26">
        <v>0</v>
      </c>
      <c r="G9" s="29">
        <f t="shared" si="0"/>
        <v>14</v>
      </c>
    </row>
    <row r="10" spans="1:7" x14ac:dyDescent="0.25">
      <c r="A10" s="25">
        <v>7</v>
      </c>
      <c r="B10" s="64" t="s">
        <v>1144</v>
      </c>
      <c r="C10" s="65" t="s">
        <v>1144</v>
      </c>
      <c r="D10" s="28" t="s">
        <v>1157</v>
      </c>
      <c r="E10" s="29">
        <v>7</v>
      </c>
      <c r="F10" s="26">
        <v>6</v>
      </c>
      <c r="G10" s="29">
        <f t="shared" si="0"/>
        <v>13</v>
      </c>
    </row>
    <row r="11" spans="1:7" x14ac:dyDescent="0.25">
      <c r="A11" s="25">
        <v>8</v>
      </c>
      <c r="B11" s="64" t="s">
        <v>1145</v>
      </c>
      <c r="C11" s="65" t="s">
        <v>1145</v>
      </c>
      <c r="D11" s="28" t="s">
        <v>1158</v>
      </c>
      <c r="E11" s="29">
        <v>0</v>
      </c>
      <c r="F11" s="26">
        <v>11</v>
      </c>
      <c r="G11" s="29">
        <f t="shared" si="0"/>
        <v>11</v>
      </c>
    </row>
    <row r="12" spans="1:7" x14ac:dyDescent="0.25">
      <c r="A12" s="25">
        <v>9</v>
      </c>
      <c r="B12" s="64" t="s">
        <v>1146</v>
      </c>
      <c r="C12" s="65" t="s">
        <v>1146</v>
      </c>
      <c r="D12" s="28" t="s">
        <v>1159</v>
      </c>
      <c r="E12" s="29">
        <v>9</v>
      </c>
      <c r="F12" s="26">
        <v>2</v>
      </c>
      <c r="G12" s="29">
        <f t="shared" si="0"/>
        <v>11</v>
      </c>
    </row>
    <row r="13" spans="1:7" x14ac:dyDescent="0.25">
      <c r="A13" s="25">
        <v>10</v>
      </c>
      <c r="B13" s="64" t="s">
        <v>1147</v>
      </c>
      <c r="C13" s="65" t="s">
        <v>1147</v>
      </c>
      <c r="D13" s="28" t="s">
        <v>1160</v>
      </c>
      <c r="E13" s="29">
        <v>0</v>
      </c>
      <c r="F13" s="26">
        <v>8</v>
      </c>
      <c r="G13" s="29">
        <f t="shared" si="0"/>
        <v>8</v>
      </c>
    </row>
    <row r="14" spans="1:7" x14ac:dyDescent="0.25">
      <c r="A14" s="25">
        <v>11</v>
      </c>
      <c r="B14" s="64" t="s">
        <v>1148</v>
      </c>
      <c r="C14" s="65" t="s">
        <v>1148</v>
      </c>
      <c r="D14" s="28" t="s">
        <v>1161</v>
      </c>
      <c r="E14" s="29">
        <v>4</v>
      </c>
      <c r="F14" s="26">
        <v>4</v>
      </c>
      <c r="G14" s="29">
        <f t="shared" si="0"/>
        <v>8</v>
      </c>
    </row>
    <row r="15" spans="1:7" x14ac:dyDescent="0.25">
      <c r="A15" s="25">
        <v>12</v>
      </c>
      <c r="B15" s="64" t="s">
        <v>1149</v>
      </c>
      <c r="C15" s="65" t="s">
        <v>1149</v>
      </c>
      <c r="D15" s="28" t="s">
        <v>1162</v>
      </c>
      <c r="E15" s="29">
        <v>2</v>
      </c>
      <c r="F15" s="26">
        <v>2</v>
      </c>
      <c r="G15" s="29">
        <f t="shared" si="0"/>
        <v>4</v>
      </c>
    </row>
    <row r="16" spans="1:7" x14ac:dyDescent="0.25">
      <c r="A16" s="25">
        <v>13</v>
      </c>
      <c r="B16" s="64" t="s">
        <v>1150</v>
      </c>
      <c r="C16" s="65" t="s">
        <v>1150</v>
      </c>
      <c r="D16" s="28" t="s">
        <v>1163</v>
      </c>
      <c r="E16" s="29">
        <v>6</v>
      </c>
      <c r="F16" s="26">
        <v>0</v>
      </c>
      <c r="G16" s="29">
        <f t="shared" si="0"/>
        <v>6</v>
      </c>
    </row>
    <row r="17" spans="1:7" x14ac:dyDescent="0.25">
      <c r="A17" s="66" t="s">
        <v>71</v>
      </c>
      <c r="B17" s="67"/>
      <c r="C17" s="67"/>
      <c r="D17" s="68"/>
      <c r="E17" s="27">
        <f>SUM(E4:E16)</f>
        <v>63</v>
      </c>
      <c r="F17" s="27">
        <f>SUM(F4:F16)</f>
        <v>43</v>
      </c>
      <c r="G17" s="27">
        <f t="shared" si="0"/>
        <v>106</v>
      </c>
    </row>
  </sheetData>
  <mergeCells count="18">
    <mergeCell ref="A17:D17"/>
    <mergeCell ref="B12:C12"/>
    <mergeCell ref="B13:C13"/>
    <mergeCell ref="B14:C14"/>
    <mergeCell ref="B15:C15"/>
    <mergeCell ref="B16:C16"/>
    <mergeCell ref="B11:C11"/>
    <mergeCell ref="A2:A3"/>
    <mergeCell ref="B2:C3"/>
    <mergeCell ref="D2:D3"/>
    <mergeCell ref="E2:G2"/>
    <mergeCell ref="B5:C5"/>
    <mergeCell ref="B4:C4"/>
    <mergeCell ref="B6:C6"/>
    <mergeCell ref="B7:C7"/>
    <mergeCell ref="B8:C8"/>
    <mergeCell ref="B9:C9"/>
    <mergeCell ref="B10:C10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DD76-F355-41A6-A64F-4F4A7A3D8FE5}">
  <dimension ref="A2:G17"/>
  <sheetViews>
    <sheetView rightToLeft="1" workbookViewId="0">
      <selection activeCell="I11" sqref="I11"/>
    </sheetView>
  </sheetViews>
  <sheetFormatPr baseColWidth="10" defaultRowHeight="15" x14ac:dyDescent="0.25"/>
  <cols>
    <col min="1" max="1" width="6.28515625" customWidth="1"/>
    <col min="3" max="3" width="16" customWidth="1"/>
    <col min="4" max="4" width="22" customWidth="1"/>
  </cols>
  <sheetData>
    <row r="2" spans="1:7" ht="23.25" x14ac:dyDescent="0.25">
      <c r="A2" s="51" t="s">
        <v>80</v>
      </c>
      <c r="B2" s="69" t="s">
        <v>81</v>
      </c>
      <c r="C2" s="70"/>
      <c r="D2" s="51" t="s">
        <v>82</v>
      </c>
      <c r="E2" s="48" t="s">
        <v>76</v>
      </c>
      <c r="F2" s="49"/>
      <c r="G2" s="50"/>
    </row>
    <row r="3" spans="1:7" ht="18.75" x14ac:dyDescent="0.25">
      <c r="A3" s="52"/>
      <c r="B3" s="71"/>
      <c r="C3" s="72"/>
      <c r="D3" s="52"/>
      <c r="E3" s="16" t="s">
        <v>77</v>
      </c>
      <c r="F3" s="16" t="s">
        <v>78</v>
      </c>
      <c r="G3" s="16" t="s">
        <v>79</v>
      </c>
    </row>
    <row r="4" spans="1:7" x14ac:dyDescent="0.25">
      <c r="A4" s="25">
        <v>1</v>
      </c>
      <c r="B4" s="64" t="s">
        <v>1164</v>
      </c>
      <c r="C4" s="65" t="s">
        <v>1164</v>
      </c>
      <c r="D4" s="28" t="s">
        <v>1177</v>
      </c>
      <c r="E4" s="29">
        <v>11</v>
      </c>
      <c r="F4" s="33"/>
      <c r="G4" s="29">
        <f t="shared" ref="G4:G17" si="0">SUM(E4:F4)</f>
        <v>11</v>
      </c>
    </row>
    <row r="5" spans="1:7" x14ac:dyDescent="0.25">
      <c r="A5" s="25">
        <v>2</v>
      </c>
      <c r="B5" s="64" t="s">
        <v>1165</v>
      </c>
      <c r="C5" s="65" t="s">
        <v>1165</v>
      </c>
      <c r="D5" s="28" t="s">
        <v>1177</v>
      </c>
      <c r="E5" s="29"/>
      <c r="F5" s="33">
        <v>9</v>
      </c>
      <c r="G5" s="29">
        <f t="shared" si="0"/>
        <v>9</v>
      </c>
    </row>
    <row r="6" spans="1:7" x14ac:dyDescent="0.25">
      <c r="A6" s="25">
        <v>3</v>
      </c>
      <c r="B6" s="64" t="s">
        <v>1166</v>
      </c>
      <c r="C6" s="65" t="s">
        <v>1166</v>
      </c>
      <c r="D6" s="28" t="s">
        <v>1178</v>
      </c>
      <c r="E6" s="29">
        <v>8</v>
      </c>
      <c r="F6" s="33"/>
      <c r="G6" s="29">
        <f t="shared" si="0"/>
        <v>8</v>
      </c>
    </row>
    <row r="7" spans="1:7" x14ac:dyDescent="0.25">
      <c r="A7" s="25">
        <v>4</v>
      </c>
      <c r="B7" s="64" t="s">
        <v>1167</v>
      </c>
      <c r="C7" s="65" t="s">
        <v>1167</v>
      </c>
      <c r="D7" s="28" t="s">
        <v>1178</v>
      </c>
      <c r="E7" s="29"/>
      <c r="F7" s="33">
        <v>15</v>
      </c>
      <c r="G7" s="29">
        <f t="shared" si="0"/>
        <v>15</v>
      </c>
    </row>
    <row r="8" spans="1:7" x14ac:dyDescent="0.25">
      <c r="A8" s="25">
        <v>5</v>
      </c>
      <c r="B8" s="64" t="s">
        <v>1168</v>
      </c>
      <c r="C8" s="65" t="s">
        <v>1168</v>
      </c>
      <c r="D8" s="28" t="s">
        <v>1179</v>
      </c>
      <c r="E8" s="29">
        <v>9</v>
      </c>
      <c r="F8" s="33">
        <v>0</v>
      </c>
      <c r="G8" s="29">
        <f t="shared" si="0"/>
        <v>9</v>
      </c>
    </row>
    <row r="9" spans="1:7" x14ac:dyDescent="0.25">
      <c r="A9" s="25">
        <v>6</v>
      </c>
      <c r="B9" s="64" t="s">
        <v>1169</v>
      </c>
      <c r="C9" s="65" t="s">
        <v>1169</v>
      </c>
      <c r="D9" s="28" t="s">
        <v>1180</v>
      </c>
      <c r="E9" s="29">
        <v>4</v>
      </c>
      <c r="F9" s="33">
        <v>4</v>
      </c>
      <c r="G9" s="29">
        <f t="shared" si="0"/>
        <v>8</v>
      </c>
    </row>
    <row r="10" spans="1:7" x14ac:dyDescent="0.25">
      <c r="A10" s="25">
        <v>7</v>
      </c>
      <c r="B10" s="64" t="s">
        <v>1170</v>
      </c>
      <c r="C10" s="65" t="s">
        <v>1170</v>
      </c>
      <c r="D10" s="28" t="s">
        <v>1178</v>
      </c>
      <c r="E10" s="29">
        <v>9</v>
      </c>
      <c r="F10" s="33"/>
      <c r="G10" s="29">
        <f t="shared" si="0"/>
        <v>9</v>
      </c>
    </row>
    <row r="11" spans="1:7" x14ac:dyDescent="0.25">
      <c r="A11" s="25">
        <v>8</v>
      </c>
      <c r="B11" s="64" t="s">
        <v>1171</v>
      </c>
      <c r="C11" s="65" t="s">
        <v>1171</v>
      </c>
      <c r="D11" s="28" t="s">
        <v>1181</v>
      </c>
      <c r="E11" s="29">
        <v>6</v>
      </c>
      <c r="F11" s="33">
        <v>5</v>
      </c>
      <c r="G11" s="29">
        <f t="shared" si="0"/>
        <v>11</v>
      </c>
    </row>
    <row r="12" spans="1:7" x14ac:dyDescent="0.25">
      <c r="A12" s="25">
        <v>9</v>
      </c>
      <c r="B12" s="64" t="s">
        <v>1172</v>
      </c>
      <c r="C12" s="65" t="s">
        <v>1172</v>
      </c>
      <c r="D12" s="28" t="s">
        <v>1182</v>
      </c>
      <c r="E12" s="29">
        <v>10</v>
      </c>
      <c r="F12" s="33"/>
      <c r="G12" s="29">
        <f t="shared" si="0"/>
        <v>10</v>
      </c>
    </row>
    <row r="13" spans="1:7" x14ac:dyDescent="0.25">
      <c r="A13" s="25">
        <v>10</v>
      </c>
      <c r="B13" s="64" t="s">
        <v>1173</v>
      </c>
      <c r="C13" s="65" t="s">
        <v>1173</v>
      </c>
      <c r="D13" s="28" t="s">
        <v>1182</v>
      </c>
      <c r="E13" s="29"/>
      <c r="F13" s="33">
        <v>9</v>
      </c>
      <c r="G13" s="29">
        <f t="shared" si="0"/>
        <v>9</v>
      </c>
    </row>
    <row r="14" spans="1:7" x14ac:dyDescent="0.25">
      <c r="A14" s="25">
        <v>11</v>
      </c>
      <c r="B14" s="64" t="s">
        <v>1174</v>
      </c>
      <c r="C14" s="65" t="s">
        <v>1174</v>
      </c>
      <c r="D14" s="28" t="s">
        <v>1179</v>
      </c>
      <c r="E14" s="29"/>
      <c r="F14" s="33">
        <v>8</v>
      </c>
      <c r="G14" s="29">
        <f t="shared" si="0"/>
        <v>8</v>
      </c>
    </row>
    <row r="15" spans="1:7" x14ac:dyDescent="0.25">
      <c r="A15" s="25">
        <v>12</v>
      </c>
      <c r="B15" s="64" t="s">
        <v>1175</v>
      </c>
      <c r="C15" s="65" t="s">
        <v>1175</v>
      </c>
      <c r="D15" s="28" t="s">
        <v>1178</v>
      </c>
      <c r="E15" s="29">
        <v>11</v>
      </c>
      <c r="F15" s="33"/>
      <c r="G15" s="29">
        <f t="shared" si="0"/>
        <v>11</v>
      </c>
    </row>
    <row r="16" spans="1:7" x14ac:dyDescent="0.25">
      <c r="A16" s="25">
        <v>13</v>
      </c>
      <c r="B16" s="64" t="s">
        <v>1176</v>
      </c>
      <c r="C16" s="65" t="s">
        <v>1176</v>
      </c>
      <c r="D16" s="28" t="s">
        <v>1178</v>
      </c>
      <c r="E16" s="29"/>
      <c r="F16" s="33">
        <v>9</v>
      </c>
      <c r="G16" s="29">
        <f t="shared" si="0"/>
        <v>9</v>
      </c>
    </row>
    <row r="17" spans="1:7" x14ac:dyDescent="0.25">
      <c r="A17" s="66" t="s">
        <v>71</v>
      </c>
      <c r="B17" s="67"/>
      <c r="C17" s="67"/>
      <c r="D17" s="68"/>
      <c r="E17" s="27">
        <f>SUM(E4:E16)</f>
        <v>68</v>
      </c>
      <c r="F17" s="27">
        <f>SUM(F4:F16)</f>
        <v>59</v>
      </c>
      <c r="G17" s="27">
        <f t="shared" si="0"/>
        <v>127</v>
      </c>
    </row>
  </sheetData>
  <mergeCells count="18">
    <mergeCell ref="A17:D17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5:C5"/>
    <mergeCell ref="A2:A3"/>
    <mergeCell ref="B2:C3"/>
    <mergeCell ref="D2:D3"/>
    <mergeCell ref="E2:G2"/>
    <mergeCell ref="B4:C4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D5E09-79A8-4108-AD99-D855639FF4A6}">
  <dimension ref="A2:G15"/>
  <sheetViews>
    <sheetView rightToLeft="1" workbookViewId="0">
      <selection activeCell="E4" sqref="E4:G15"/>
    </sheetView>
  </sheetViews>
  <sheetFormatPr baseColWidth="10" defaultRowHeight="15" x14ac:dyDescent="0.25"/>
  <cols>
    <col min="1" max="1" width="6.28515625" customWidth="1"/>
    <col min="3" max="3" width="16" customWidth="1"/>
    <col min="4" max="4" width="22" customWidth="1"/>
  </cols>
  <sheetData>
    <row r="2" spans="1:7" ht="23.25" x14ac:dyDescent="0.25">
      <c r="A2" s="51" t="s">
        <v>80</v>
      </c>
      <c r="B2" s="69" t="s">
        <v>81</v>
      </c>
      <c r="C2" s="70"/>
      <c r="D2" s="51" t="s">
        <v>82</v>
      </c>
      <c r="E2" s="48" t="s">
        <v>76</v>
      </c>
      <c r="F2" s="49"/>
      <c r="G2" s="50"/>
    </row>
    <row r="3" spans="1:7" ht="18.75" x14ac:dyDescent="0.25">
      <c r="A3" s="52"/>
      <c r="B3" s="71"/>
      <c r="C3" s="72"/>
      <c r="D3" s="52"/>
      <c r="E3" s="16" t="s">
        <v>77</v>
      </c>
      <c r="F3" s="16" t="s">
        <v>78</v>
      </c>
      <c r="G3" s="16" t="s">
        <v>79</v>
      </c>
    </row>
    <row r="4" spans="1:7" x14ac:dyDescent="0.25">
      <c r="A4" s="25">
        <v>1</v>
      </c>
      <c r="B4" s="64" t="s">
        <v>1183</v>
      </c>
      <c r="C4" s="65" t="s">
        <v>1183</v>
      </c>
      <c r="D4" s="28" t="s">
        <v>1194</v>
      </c>
      <c r="E4" s="29">
        <v>10</v>
      </c>
      <c r="F4" s="33">
        <v>5</v>
      </c>
      <c r="G4" s="29">
        <f t="shared" ref="G4:G15" si="0">SUM(E4:F4)</f>
        <v>15</v>
      </c>
    </row>
    <row r="5" spans="1:7" x14ac:dyDescent="0.25">
      <c r="A5" s="25">
        <v>2</v>
      </c>
      <c r="B5" s="64" t="s">
        <v>1184</v>
      </c>
      <c r="C5" s="65" t="s">
        <v>1184</v>
      </c>
      <c r="D5" s="28" t="s">
        <v>1195</v>
      </c>
      <c r="E5" s="29">
        <v>5</v>
      </c>
      <c r="F5" s="33">
        <v>3</v>
      </c>
      <c r="G5" s="29">
        <f t="shared" si="0"/>
        <v>8</v>
      </c>
    </row>
    <row r="6" spans="1:7" x14ac:dyDescent="0.25">
      <c r="A6" s="25">
        <v>3</v>
      </c>
      <c r="B6" s="64" t="s">
        <v>1185</v>
      </c>
      <c r="C6" s="65" t="s">
        <v>1185</v>
      </c>
      <c r="D6" s="28" t="s">
        <v>1196</v>
      </c>
      <c r="E6" s="29">
        <v>12</v>
      </c>
      <c r="F6" s="33"/>
      <c r="G6" s="29">
        <f t="shared" si="0"/>
        <v>12</v>
      </c>
    </row>
    <row r="7" spans="1:7" x14ac:dyDescent="0.25">
      <c r="A7" s="25">
        <v>4</v>
      </c>
      <c r="B7" s="64" t="s">
        <v>1186</v>
      </c>
      <c r="C7" s="65" t="s">
        <v>1186</v>
      </c>
      <c r="D7" s="28" t="s">
        <v>1197</v>
      </c>
      <c r="E7" s="29">
        <v>12</v>
      </c>
      <c r="F7" s="33"/>
      <c r="G7" s="29">
        <f t="shared" si="0"/>
        <v>12</v>
      </c>
    </row>
    <row r="8" spans="1:7" x14ac:dyDescent="0.25">
      <c r="A8" s="25">
        <v>5</v>
      </c>
      <c r="B8" s="64" t="s">
        <v>1187</v>
      </c>
      <c r="C8" s="65" t="s">
        <v>1187</v>
      </c>
      <c r="D8" s="28" t="s">
        <v>1197</v>
      </c>
      <c r="E8" s="29"/>
      <c r="F8" s="33">
        <v>12</v>
      </c>
      <c r="G8" s="29">
        <f t="shared" si="0"/>
        <v>12</v>
      </c>
    </row>
    <row r="9" spans="1:7" x14ac:dyDescent="0.25">
      <c r="A9" s="25">
        <v>6</v>
      </c>
      <c r="B9" s="64" t="s">
        <v>1188</v>
      </c>
      <c r="C9" s="65" t="s">
        <v>1188</v>
      </c>
      <c r="D9" s="28" t="s">
        <v>1198</v>
      </c>
      <c r="E9" s="29"/>
      <c r="F9" s="33">
        <v>5</v>
      </c>
      <c r="G9" s="29">
        <f t="shared" si="0"/>
        <v>5</v>
      </c>
    </row>
    <row r="10" spans="1:7" x14ac:dyDescent="0.25">
      <c r="A10" s="25">
        <v>7</v>
      </c>
      <c r="B10" s="64" t="s">
        <v>1189</v>
      </c>
      <c r="C10" s="65" t="s">
        <v>1189</v>
      </c>
      <c r="D10" s="28" t="s">
        <v>1198</v>
      </c>
      <c r="E10" s="29">
        <v>6</v>
      </c>
      <c r="F10" s="33"/>
      <c r="G10" s="29">
        <f t="shared" si="0"/>
        <v>6</v>
      </c>
    </row>
    <row r="11" spans="1:7" x14ac:dyDescent="0.25">
      <c r="A11" s="25">
        <v>8</v>
      </c>
      <c r="B11" s="64" t="s">
        <v>1190</v>
      </c>
      <c r="C11" s="65" t="s">
        <v>1190</v>
      </c>
      <c r="D11" s="28" t="s">
        <v>1199</v>
      </c>
      <c r="E11" s="29"/>
      <c r="F11" s="33">
        <v>11</v>
      </c>
      <c r="G11" s="29">
        <f t="shared" si="0"/>
        <v>11</v>
      </c>
    </row>
    <row r="12" spans="1:7" x14ac:dyDescent="0.25">
      <c r="A12" s="25">
        <v>9</v>
      </c>
      <c r="B12" s="64" t="s">
        <v>1191</v>
      </c>
      <c r="C12" s="65" t="s">
        <v>1191</v>
      </c>
      <c r="D12" s="28" t="s">
        <v>1200</v>
      </c>
      <c r="E12" s="29"/>
      <c r="F12" s="33">
        <v>13</v>
      </c>
      <c r="G12" s="29">
        <f t="shared" si="0"/>
        <v>13</v>
      </c>
    </row>
    <row r="13" spans="1:7" x14ac:dyDescent="0.25">
      <c r="A13" s="25">
        <v>10</v>
      </c>
      <c r="B13" s="64" t="s">
        <v>1192</v>
      </c>
      <c r="C13" s="65" t="s">
        <v>1192</v>
      </c>
      <c r="D13" s="28" t="s">
        <v>1201</v>
      </c>
      <c r="E13" s="29">
        <v>2</v>
      </c>
      <c r="F13" s="33">
        <v>2</v>
      </c>
      <c r="G13" s="29">
        <f t="shared" si="0"/>
        <v>4</v>
      </c>
    </row>
    <row r="14" spans="1:7" x14ac:dyDescent="0.25">
      <c r="A14" s="25">
        <v>11</v>
      </c>
      <c r="B14" s="64" t="s">
        <v>1193</v>
      </c>
      <c r="C14" s="65" t="s">
        <v>1193</v>
      </c>
      <c r="D14" s="28" t="s">
        <v>1200</v>
      </c>
      <c r="E14" s="29">
        <v>13</v>
      </c>
      <c r="F14" s="33"/>
      <c r="G14" s="29">
        <f t="shared" si="0"/>
        <v>13</v>
      </c>
    </row>
    <row r="15" spans="1:7" x14ac:dyDescent="0.25">
      <c r="A15" s="66" t="s">
        <v>71</v>
      </c>
      <c r="B15" s="67"/>
      <c r="C15" s="67"/>
      <c r="D15" s="68"/>
      <c r="E15" s="27">
        <f>SUM(E4:E14)</f>
        <v>60</v>
      </c>
      <c r="F15" s="27">
        <f>SUM(F4:F14)</f>
        <v>51</v>
      </c>
      <c r="G15" s="27">
        <f t="shared" si="0"/>
        <v>111</v>
      </c>
    </row>
  </sheetData>
  <mergeCells count="16">
    <mergeCell ref="B12:C12"/>
    <mergeCell ref="B13:C13"/>
    <mergeCell ref="B14:C14"/>
    <mergeCell ref="A15:D15"/>
    <mergeCell ref="B6:C6"/>
    <mergeCell ref="B7:C7"/>
    <mergeCell ref="B8:C8"/>
    <mergeCell ref="B9:C9"/>
    <mergeCell ref="B10:C10"/>
    <mergeCell ref="B11:C11"/>
    <mergeCell ref="B5:C5"/>
    <mergeCell ref="A2:A3"/>
    <mergeCell ref="B2:C3"/>
    <mergeCell ref="D2:D3"/>
    <mergeCell ref="E2:G2"/>
    <mergeCell ref="B4:C4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9D5CA-7638-41CC-B4AC-3916E901E99C}">
  <dimension ref="A2:G19"/>
  <sheetViews>
    <sheetView rightToLeft="1" workbookViewId="0">
      <selection activeCell="E4" sqref="E4:G19"/>
    </sheetView>
  </sheetViews>
  <sheetFormatPr baseColWidth="10" defaultRowHeight="15" x14ac:dyDescent="0.25"/>
  <cols>
    <col min="1" max="1" width="6.28515625" customWidth="1"/>
    <col min="3" max="3" width="16" customWidth="1"/>
    <col min="4" max="4" width="22" customWidth="1"/>
  </cols>
  <sheetData>
    <row r="2" spans="1:7" ht="23.25" x14ac:dyDescent="0.25">
      <c r="A2" s="51" t="s">
        <v>80</v>
      </c>
      <c r="B2" s="69" t="s">
        <v>81</v>
      </c>
      <c r="C2" s="70"/>
      <c r="D2" s="51" t="s">
        <v>82</v>
      </c>
      <c r="E2" s="48" t="s">
        <v>76</v>
      </c>
      <c r="F2" s="49"/>
      <c r="G2" s="50"/>
    </row>
    <row r="3" spans="1:7" ht="18.75" x14ac:dyDescent="0.25">
      <c r="A3" s="52"/>
      <c r="B3" s="71"/>
      <c r="C3" s="72"/>
      <c r="D3" s="52"/>
      <c r="E3" s="16" t="s">
        <v>77</v>
      </c>
      <c r="F3" s="16" t="s">
        <v>78</v>
      </c>
      <c r="G3" s="16" t="s">
        <v>79</v>
      </c>
    </row>
    <row r="4" spans="1:7" x14ac:dyDescent="0.25">
      <c r="A4" s="25">
        <v>1</v>
      </c>
      <c r="B4" s="78" t="s">
        <v>1202</v>
      </c>
      <c r="C4" s="79" t="s">
        <v>1202</v>
      </c>
      <c r="D4" s="28" t="s">
        <v>1217</v>
      </c>
      <c r="E4" s="29">
        <v>8</v>
      </c>
      <c r="F4" s="33"/>
      <c r="G4" s="29">
        <f t="shared" ref="G4:G19" si="0">SUM(E4:F4)</f>
        <v>8</v>
      </c>
    </row>
    <row r="5" spans="1:7" x14ac:dyDescent="0.25">
      <c r="A5" s="25">
        <v>2</v>
      </c>
      <c r="B5" s="78" t="s">
        <v>1203</v>
      </c>
      <c r="C5" s="79" t="s">
        <v>1203</v>
      </c>
      <c r="D5" s="28" t="s">
        <v>1217</v>
      </c>
      <c r="E5" s="29"/>
      <c r="F5" s="33">
        <v>6</v>
      </c>
      <c r="G5" s="29">
        <f t="shared" si="0"/>
        <v>6</v>
      </c>
    </row>
    <row r="6" spans="1:7" x14ac:dyDescent="0.25">
      <c r="A6" s="25">
        <v>3</v>
      </c>
      <c r="B6" s="78" t="s">
        <v>1204</v>
      </c>
      <c r="C6" s="79" t="s">
        <v>1204</v>
      </c>
      <c r="D6" s="28" t="s">
        <v>1217</v>
      </c>
      <c r="E6" s="29">
        <v>8</v>
      </c>
      <c r="F6" s="33"/>
      <c r="G6" s="29">
        <f t="shared" si="0"/>
        <v>8</v>
      </c>
    </row>
    <row r="7" spans="1:7" x14ac:dyDescent="0.25">
      <c r="A7" s="25">
        <v>4</v>
      </c>
      <c r="B7" s="78" t="s">
        <v>1205</v>
      </c>
      <c r="C7" s="79" t="s">
        <v>1205</v>
      </c>
      <c r="D7" s="28" t="s">
        <v>1217</v>
      </c>
      <c r="E7" s="29"/>
      <c r="F7" s="33">
        <v>7</v>
      </c>
      <c r="G7" s="29">
        <f t="shared" si="0"/>
        <v>7</v>
      </c>
    </row>
    <row r="8" spans="1:7" x14ac:dyDescent="0.25">
      <c r="A8" s="25">
        <v>5</v>
      </c>
      <c r="B8" s="78" t="s">
        <v>1206</v>
      </c>
      <c r="C8" s="79" t="s">
        <v>1206</v>
      </c>
      <c r="D8" s="28" t="s">
        <v>1218</v>
      </c>
      <c r="E8" s="29">
        <v>5</v>
      </c>
      <c r="F8" s="33">
        <v>5</v>
      </c>
      <c r="G8" s="29">
        <f t="shared" si="0"/>
        <v>10</v>
      </c>
    </row>
    <row r="9" spans="1:7" x14ac:dyDescent="0.25">
      <c r="A9" s="25">
        <v>6</v>
      </c>
      <c r="B9" s="78" t="s">
        <v>1207</v>
      </c>
      <c r="C9" s="79" t="s">
        <v>1207</v>
      </c>
      <c r="D9" s="28" t="s">
        <v>1219</v>
      </c>
      <c r="E9" s="29">
        <v>7</v>
      </c>
      <c r="F9" s="33">
        <v>7</v>
      </c>
      <c r="G9" s="29">
        <f t="shared" si="0"/>
        <v>14</v>
      </c>
    </row>
    <row r="10" spans="1:7" x14ac:dyDescent="0.25">
      <c r="A10" s="25">
        <v>7</v>
      </c>
      <c r="B10" s="78" t="s">
        <v>1208</v>
      </c>
      <c r="C10" s="79" t="s">
        <v>1208</v>
      </c>
      <c r="D10" s="28" t="s">
        <v>1220</v>
      </c>
      <c r="E10" s="29"/>
      <c r="F10" s="33">
        <v>13</v>
      </c>
      <c r="G10" s="29">
        <f t="shared" si="0"/>
        <v>13</v>
      </c>
    </row>
    <row r="11" spans="1:7" x14ac:dyDescent="0.25">
      <c r="A11" s="25">
        <v>8</v>
      </c>
      <c r="B11" s="78" t="s">
        <v>1209</v>
      </c>
      <c r="C11" s="79" t="s">
        <v>1209</v>
      </c>
      <c r="D11" s="28" t="s">
        <v>1220</v>
      </c>
      <c r="E11" s="29">
        <v>16</v>
      </c>
      <c r="F11" s="33"/>
      <c r="G11" s="29">
        <f t="shared" si="0"/>
        <v>16</v>
      </c>
    </row>
    <row r="12" spans="1:7" x14ac:dyDescent="0.25">
      <c r="A12" s="25">
        <v>9</v>
      </c>
      <c r="B12" s="78" t="s">
        <v>1210</v>
      </c>
      <c r="C12" s="79" t="s">
        <v>1210</v>
      </c>
      <c r="D12" s="28" t="s">
        <v>1221</v>
      </c>
      <c r="E12" s="29">
        <v>5</v>
      </c>
      <c r="F12" s="33">
        <v>4</v>
      </c>
      <c r="G12" s="29">
        <f t="shared" si="0"/>
        <v>9</v>
      </c>
    </row>
    <row r="13" spans="1:7" x14ac:dyDescent="0.25">
      <c r="A13" s="25">
        <v>10</v>
      </c>
      <c r="B13" s="78" t="s">
        <v>1211</v>
      </c>
      <c r="C13" s="79" t="s">
        <v>1211</v>
      </c>
      <c r="D13" s="28" t="s">
        <v>1222</v>
      </c>
      <c r="E13" s="29">
        <v>5</v>
      </c>
      <c r="F13" s="33">
        <v>5</v>
      </c>
      <c r="G13" s="29">
        <f t="shared" si="0"/>
        <v>10</v>
      </c>
    </row>
    <row r="14" spans="1:7" x14ac:dyDescent="0.25">
      <c r="A14" s="25">
        <v>11</v>
      </c>
      <c r="B14" s="78" t="s">
        <v>1212</v>
      </c>
      <c r="C14" s="79" t="s">
        <v>1212</v>
      </c>
      <c r="D14" s="28" t="s">
        <v>1223</v>
      </c>
      <c r="E14" s="29">
        <v>8</v>
      </c>
      <c r="F14" s="33">
        <v>6</v>
      </c>
      <c r="G14" s="29">
        <f t="shared" si="0"/>
        <v>14</v>
      </c>
    </row>
    <row r="15" spans="1:7" x14ac:dyDescent="0.25">
      <c r="A15" s="25">
        <v>12</v>
      </c>
      <c r="B15" s="78" t="s">
        <v>1213</v>
      </c>
      <c r="C15" s="79" t="s">
        <v>1213</v>
      </c>
      <c r="D15" s="28" t="s">
        <v>1224</v>
      </c>
      <c r="E15" s="29">
        <v>9</v>
      </c>
      <c r="F15" s="33">
        <v>9</v>
      </c>
      <c r="G15" s="29">
        <f t="shared" si="0"/>
        <v>18</v>
      </c>
    </row>
    <row r="16" spans="1:7" x14ac:dyDescent="0.25">
      <c r="A16" s="25">
        <v>13</v>
      </c>
      <c r="B16" s="78" t="s">
        <v>1214</v>
      </c>
      <c r="C16" s="79" t="s">
        <v>1214</v>
      </c>
      <c r="D16" s="28" t="s">
        <v>1225</v>
      </c>
      <c r="E16" s="29">
        <v>4</v>
      </c>
      <c r="F16" s="33">
        <v>3</v>
      </c>
      <c r="G16" s="29">
        <f t="shared" si="0"/>
        <v>7</v>
      </c>
    </row>
    <row r="17" spans="1:7" x14ac:dyDescent="0.25">
      <c r="A17" s="25">
        <v>14</v>
      </c>
      <c r="B17" s="78" t="s">
        <v>1215</v>
      </c>
      <c r="C17" s="79" t="s">
        <v>1215</v>
      </c>
      <c r="D17" s="28" t="s">
        <v>1219</v>
      </c>
      <c r="E17" s="29">
        <v>2</v>
      </c>
      <c r="F17" s="33">
        <v>2</v>
      </c>
      <c r="G17" s="29">
        <f t="shared" si="0"/>
        <v>4</v>
      </c>
    </row>
    <row r="18" spans="1:7" x14ac:dyDescent="0.25">
      <c r="A18" s="25">
        <v>15</v>
      </c>
      <c r="B18" s="78" t="s">
        <v>1216</v>
      </c>
      <c r="C18" s="79" t="s">
        <v>1216</v>
      </c>
      <c r="D18" s="28" t="s">
        <v>1226</v>
      </c>
      <c r="E18" s="29">
        <v>7</v>
      </c>
      <c r="F18" s="33">
        <v>5</v>
      </c>
      <c r="G18" s="29">
        <f t="shared" si="0"/>
        <v>12</v>
      </c>
    </row>
    <row r="19" spans="1:7" x14ac:dyDescent="0.25">
      <c r="A19" s="66" t="s">
        <v>71</v>
      </c>
      <c r="B19" s="67"/>
      <c r="C19" s="67"/>
      <c r="D19" s="68"/>
      <c r="E19" s="27">
        <f>SUM(E4:E18)</f>
        <v>84</v>
      </c>
      <c r="F19" s="27">
        <f>SUM(F4:F18)</f>
        <v>72</v>
      </c>
      <c r="G19" s="27">
        <f t="shared" si="0"/>
        <v>156</v>
      </c>
    </row>
  </sheetData>
  <mergeCells count="20">
    <mergeCell ref="B12:C12"/>
    <mergeCell ref="B17:C17"/>
    <mergeCell ref="B18:C18"/>
    <mergeCell ref="A19:D19"/>
    <mergeCell ref="B13:C13"/>
    <mergeCell ref="B14:C14"/>
    <mergeCell ref="B15:C15"/>
    <mergeCell ref="B16:C16"/>
    <mergeCell ref="B11:C11"/>
    <mergeCell ref="A2:A3"/>
    <mergeCell ref="B2:C3"/>
    <mergeCell ref="D2:D3"/>
    <mergeCell ref="E2:G2"/>
    <mergeCell ref="B4:C4"/>
    <mergeCell ref="B5:C5"/>
    <mergeCell ref="B6:C6"/>
    <mergeCell ref="B7:C7"/>
    <mergeCell ref="B8:C8"/>
    <mergeCell ref="B9:C9"/>
    <mergeCell ref="B10:C10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7BF17-2717-4185-AC15-9B08250634D5}">
  <dimension ref="A2:G15"/>
  <sheetViews>
    <sheetView rightToLeft="1" workbookViewId="0">
      <selection activeCell="E4" sqref="E4:G15"/>
    </sheetView>
  </sheetViews>
  <sheetFormatPr baseColWidth="10" defaultRowHeight="15" x14ac:dyDescent="0.25"/>
  <cols>
    <col min="1" max="1" width="6.28515625" customWidth="1"/>
    <col min="3" max="3" width="16" customWidth="1"/>
    <col min="4" max="4" width="22" customWidth="1"/>
  </cols>
  <sheetData>
    <row r="2" spans="1:7" ht="23.25" x14ac:dyDescent="0.25">
      <c r="A2" s="51" t="s">
        <v>80</v>
      </c>
      <c r="B2" s="69" t="s">
        <v>81</v>
      </c>
      <c r="C2" s="70"/>
      <c r="D2" s="51" t="s">
        <v>82</v>
      </c>
      <c r="E2" s="48" t="s">
        <v>76</v>
      </c>
      <c r="F2" s="49"/>
      <c r="G2" s="50"/>
    </row>
    <row r="3" spans="1:7" ht="18.75" x14ac:dyDescent="0.25">
      <c r="A3" s="52"/>
      <c r="B3" s="71"/>
      <c r="C3" s="72"/>
      <c r="D3" s="52"/>
      <c r="E3" s="16" t="s">
        <v>77</v>
      </c>
      <c r="F3" s="16" t="s">
        <v>78</v>
      </c>
      <c r="G3" s="16" t="s">
        <v>79</v>
      </c>
    </row>
    <row r="4" spans="1:7" x14ac:dyDescent="0.25">
      <c r="A4" s="25">
        <v>1</v>
      </c>
      <c r="B4" s="78" t="s">
        <v>1227</v>
      </c>
      <c r="C4" s="79" t="s">
        <v>1227</v>
      </c>
      <c r="D4" s="28" t="s">
        <v>1238</v>
      </c>
      <c r="E4" s="29"/>
      <c r="F4" s="33">
        <v>6</v>
      </c>
      <c r="G4" s="29">
        <f t="shared" ref="G4:G15" si="0">SUM(E4:F4)</f>
        <v>6</v>
      </c>
    </row>
    <row r="5" spans="1:7" x14ac:dyDescent="0.25">
      <c r="A5" s="25">
        <v>2</v>
      </c>
      <c r="B5" s="78" t="s">
        <v>1228</v>
      </c>
      <c r="C5" s="79" t="s">
        <v>1228</v>
      </c>
      <c r="D5" s="28" t="s">
        <v>1239</v>
      </c>
      <c r="E5" s="29">
        <v>4</v>
      </c>
      <c r="F5" s="33">
        <v>3</v>
      </c>
      <c r="G5" s="29">
        <f t="shared" si="0"/>
        <v>7</v>
      </c>
    </row>
    <row r="6" spans="1:7" x14ac:dyDescent="0.25">
      <c r="A6" s="25">
        <v>3</v>
      </c>
      <c r="B6" s="78" t="s">
        <v>1229</v>
      </c>
      <c r="C6" s="79" t="s">
        <v>1229</v>
      </c>
      <c r="D6" s="28" t="s">
        <v>1240</v>
      </c>
      <c r="E6" s="29">
        <v>4</v>
      </c>
      <c r="F6" s="33">
        <v>4</v>
      </c>
      <c r="G6" s="29">
        <f t="shared" si="0"/>
        <v>8</v>
      </c>
    </row>
    <row r="7" spans="1:7" x14ac:dyDescent="0.25">
      <c r="A7" s="25">
        <v>4</v>
      </c>
      <c r="B7" s="78" t="s">
        <v>1230</v>
      </c>
      <c r="C7" s="79" t="s">
        <v>1230</v>
      </c>
      <c r="D7" s="28" t="s">
        <v>1241</v>
      </c>
      <c r="E7" s="29">
        <v>7</v>
      </c>
      <c r="F7" s="33"/>
      <c r="G7" s="29">
        <f t="shared" si="0"/>
        <v>7</v>
      </c>
    </row>
    <row r="8" spans="1:7" x14ac:dyDescent="0.25">
      <c r="A8" s="25">
        <v>5</v>
      </c>
      <c r="B8" s="78" t="s">
        <v>1231</v>
      </c>
      <c r="C8" s="79" t="s">
        <v>1231</v>
      </c>
      <c r="D8" s="28" t="s">
        <v>1242</v>
      </c>
      <c r="E8" s="29">
        <v>3</v>
      </c>
      <c r="F8" s="33">
        <v>3</v>
      </c>
      <c r="G8" s="29">
        <f t="shared" si="0"/>
        <v>6</v>
      </c>
    </row>
    <row r="9" spans="1:7" x14ac:dyDescent="0.25">
      <c r="A9" s="25">
        <v>6</v>
      </c>
      <c r="B9" s="78" t="s">
        <v>1232</v>
      </c>
      <c r="C9" s="79" t="s">
        <v>1232</v>
      </c>
      <c r="D9" s="28" t="s">
        <v>1243</v>
      </c>
      <c r="E9" s="29">
        <v>3</v>
      </c>
      <c r="F9" s="33">
        <v>3</v>
      </c>
      <c r="G9" s="29">
        <f t="shared" si="0"/>
        <v>6</v>
      </c>
    </row>
    <row r="10" spans="1:7" x14ac:dyDescent="0.25">
      <c r="A10" s="25">
        <v>7</v>
      </c>
      <c r="B10" s="78" t="s">
        <v>1233</v>
      </c>
      <c r="C10" s="79" t="s">
        <v>1233</v>
      </c>
      <c r="D10" s="28" t="s">
        <v>1244</v>
      </c>
      <c r="E10" s="29">
        <v>3</v>
      </c>
      <c r="F10" s="33">
        <v>3</v>
      </c>
      <c r="G10" s="29">
        <f t="shared" si="0"/>
        <v>6</v>
      </c>
    </row>
    <row r="11" spans="1:7" x14ac:dyDescent="0.25">
      <c r="A11" s="25">
        <v>8</v>
      </c>
      <c r="B11" s="78" t="s">
        <v>1234</v>
      </c>
      <c r="C11" s="79" t="s">
        <v>1234</v>
      </c>
      <c r="D11" s="28" t="s">
        <v>1245</v>
      </c>
      <c r="E11" s="29">
        <v>2</v>
      </c>
      <c r="F11" s="33">
        <v>2</v>
      </c>
      <c r="G11" s="29">
        <f t="shared" si="0"/>
        <v>4</v>
      </c>
    </row>
    <row r="12" spans="1:7" x14ac:dyDescent="0.25">
      <c r="A12" s="25">
        <v>9</v>
      </c>
      <c r="B12" s="78" t="s">
        <v>1235</v>
      </c>
      <c r="C12" s="79" t="s">
        <v>1235</v>
      </c>
      <c r="D12" s="28" t="s">
        <v>1246</v>
      </c>
      <c r="E12" s="29">
        <v>3</v>
      </c>
      <c r="F12" s="33">
        <v>3</v>
      </c>
      <c r="G12" s="29">
        <f t="shared" si="0"/>
        <v>6</v>
      </c>
    </row>
    <row r="13" spans="1:7" x14ac:dyDescent="0.25">
      <c r="A13" s="25">
        <v>10</v>
      </c>
      <c r="B13" s="78" t="s">
        <v>1236</v>
      </c>
      <c r="C13" s="79" t="s">
        <v>1236</v>
      </c>
      <c r="D13" s="28" t="s">
        <v>1247</v>
      </c>
      <c r="E13" s="29">
        <v>2</v>
      </c>
      <c r="F13" s="33">
        <v>1</v>
      </c>
      <c r="G13" s="29">
        <f t="shared" si="0"/>
        <v>3</v>
      </c>
    </row>
    <row r="14" spans="1:7" x14ac:dyDescent="0.25">
      <c r="A14" s="25">
        <v>11</v>
      </c>
      <c r="B14" s="78" t="s">
        <v>1237</v>
      </c>
      <c r="C14" s="79" t="s">
        <v>1237</v>
      </c>
      <c r="D14" s="28" t="s">
        <v>1248</v>
      </c>
      <c r="E14" s="29">
        <v>2</v>
      </c>
      <c r="F14" s="33">
        <v>1</v>
      </c>
      <c r="G14" s="29">
        <f t="shared" si="0"/>
        <v>3</v>
      </c>
    </row>
    <row r="15" spans="1:7" x14ac:dyDescent="0.25">
      <c r="A15" s="66" t="s">
        <v>71</v>
      </c>
      <c r="B15" s="67"/>
      <c r="C15" s="67"/>
      <c r="D15" s="68"/>
      <c r="E15" s="27">
        <f>SUM(E4:E14)</f>
        <v>33</v>
      </c>
      <c r="F15" s="27">
        <f>SUM(F4:F14)</f>
        <v>29</v>
      </c>
      <c r="G15" s="27">
        <f t="shared" si="0"/>
        <v>62</v>
      </c>
    </row>
  </sheetData>
  <mergeCells count="16">
    <mergeCell ref="A15:D15"/>
    <mergeCell ref="B14:C14"/>
    <mergeCell ref="B12:C12"/>
    <mergeCell ref="B13:C13"/>
    <mergeCell ref="B6:C6"/>
    <mergeCell ref="B7:C7"/>
    <mergeCell ref="B8:C8"/>
    <mergeCell ref="B9:C9"/>
    <mergeCell ref="B10:C10"/>
    <mergeCell ref="B11:C11"/>
    <mergeCell ref="B5:C5"/>
    <mergeCell ref="A2:A3"/>
    <mergeCell ref="B2:C3"/>
    <mergeCell ref="D2:D3"/>
    <mergeCell ref="E2:G2"/>
    <mergeCell ref="B4:C4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DAFC9-E078-473C-A45F-29338FDDEE44}">
  <dimension ref="A2:G13"/>
  <sheetViews>
    <sheetView rightToLeft="1" workbookViewId="0">
      <selection activeCell="E4" sqref="E4:G13"/>
    </sheetView>
  </sheetViews>
  <sheetFormatPr baseColWidth="10" defaultRowHeight="15" x14ac:dyDescent="0.25"/>
  <cols>
    <col min="1" max="1" width="6.28515625" customWidth="1"/>
    <col min="3" max="3" width="16" customWidth="1"/>
    <col min="4" max="4" width="24" customWidth="1"/>
  </cols>
  <sheetData>
    <row r="2" spans="1:7" ht="23.25" x14ac:dyDescent="0.25">
      <c r="A2" s="51" t="s">
        <v>80</v>
      </c>
      <c r="B2" s="69" t="s">
        <v>81</v>
      </c>
      <c r="C2" s="70"/>
      <c r="D2" s="51" t="s">
        <v>82</v>
      </c>
      <c r="E2" s="48" t="s">
        <v>76</v>
      </c>
      <c r="F2" s="49"/>
      <c r="G2" s="50"/>
    </row>
    <row r="3" spans="1:7" ht="18.75" x14ac:dyDescent="0.25">
      <c r="A3" s="52"/>
      <c r="B3" s="71"/>
      <c r="C3" s="72"/>
      <c r="D3" s="52"/>
      <c r="E3" s="16" t="s">
        <v>77</v>
      </c>
      <c r="F3" s="16" t="s">
        <v>78</v>
      </c>
      <c r="G3" s="16" t="s">
        <v>79</v>
      </c>
    </row>
    <row r="4" spans="1:7" x14ac:dyDescent="0.25">
      <c r="A4" s="25">
        <v>1</v>
      </c>
      <c r="B4" s="78" t="s">
        <v>1249</v>
      </c>
      <c r="C4" s="79" t="s">
        <v>1249</v>
      </c>
      <c r="D4" s="28" t="s">
        <v>1258</v>
      </c>
      <c r="E4" s="29">
        <v>8</v>
      </c>
      <c r="F4" s="33">
        <v>0</v>
      </c>
      <c r="G4" s="29">
        <f t="shared" ref="G4:G13" si="0">SUM(E4:F4)</f>
        <v>8</v>
      </c>
    </row>
    <row r="5" spans="1:7" x14ac:dyDescent="0.25">
      <c r="A5" s="25">
        <v>2</v>
      </c>
      <c r="B5" s="78" t="s">
        <v>1250</v>
      </c>
      <c r="C5" s="79" t="s">
        <v>1250</v>
      </c>
      <c r="D5" s="28" t="s">
        <v>1259</v>
      </c>
      <c r="E5" s="29">
        <v>8</v>
      </c>
      <c r="F5" s="33">
        <v>0</v>
      </c>
      <c r="G5" s="29">
        <f t="shared" si="0"/>
        <v>8</v>
      </c>
    </row>
    <row r="6" spans="1:7" x14ac:dyDescent="0.25">
      <c r="A6" s="25">
        <v>3</v>
      </c>
      <c r="B6" s="78" t="s">
        <v>1251</v>
      </c>
      <c r="C6" s="79" t="s">
        <v>1251</v>
      </c>
      <c r="D6" s="28" t="s">
        <v>1260</v>
      </c>
      <c r="E6" s="29">
        <v>3</v>
      </c>
      <c r="F6" s="33">
        <v>3</v>
      </c>
      <c r="G6" s="29">
        <f t="shared" si="0"/>
        <v>6</v>
      </c>
    </row>
    <row r="7" spans="1:7" x14ac:dyDescent="0.25">
      <c r="A7" s="25">
        <v>4</v>
      </c>
      <c r="B7" s="78" t="s">
        <v>1252</v>
      </c>
      <c r="C7" s="79" t="s">
        <v>1252</v>
      </c>
      <c r="D7" s="28" t="s">
        <v>1261</v>
      </c>
      <c r="E7" s="29">
        <v>4</v>
      </c>
      <c r="F7" s="33">
        <v>4</v>
      </c>
      <c r="G7" s="29">
        <f t="shared" si="0"/>
        <v>8</v>
      </c>
    </row>
    <row r="8" spans="1:7" x14ac:dyDescent="0.25">
      <c r="A8" s="25">
        <v>5</v>
      </c>
      <c r="B8" s="78" t="s">
        <v>1253</v>
      </c>
      <c r="C8" s="79" t="s">
        <v>1253</v>
      </c>
      <c r="D8" s="28" t="s">
        <v>1262</v>
      </c>
      <c r="E8" s="29">
        <v>0</v>
      </c>
      <c r="F8" s="33">
        <v>5</v>
      </c>
      <c r="G8" s="29">
        <f t="shared" si="0"/>
        <v>5</v>
      </c>
    </row>
    <row r="9" spans="1:7" x14ac:dyDescent="0.25">
      <c r="A9" s="25">
        <v>6</v>
      </c>
      <c r="B9" s="78" t="s">
        <v>1254</v>
      </c>
      <c r="C9" s="79" t="s">
        <v>1254</v>
      </c>
      <c r="D9" s="28" t="s">
        <v>1263</v>
      </c>
      <c r="E9" s="29">
        <v>3</v>
      </c>
      <c r="F9" s="33">
        <v>2</v>
      </c>
      <c r="G9" s="29">
        <f t="shared" si="0"/>
        <v>5</v>
      </c>
    </row>
    <row r="10" spans="1:7" x14ac:dyDescent="0.25">
      <c r="A10" s="25">
        <v>7</v>
      </c>
      <c r="B10" s="78" t="s">
        <v>1255</v>
      </c>
      <c r="C10" s="79" t="s">
        <v>1255</v>
      </c>
      <c r="D10" s="28" t="s">
        <v>1264</v>
      </c>
      <c r="E10" s="29">
        <v>3</v>
      </c>
      <c r="F10" s="33">
        <v>3</v>
      </c>
      <c r="G10" s="29">
        <f t="shared" si="0"/>
        <v>6</v>
      </c>
    </row>
    <row r="11" spans="1:7" x14ac:dyDescent="0.25">
      <c r="A11" s="25">
        <v>8</v>
      </c>
      <c r="B11" s="78" t="s">
        <v>1256</v>
      </c>
      <c r="C11" s="79" t="s">
        <v>1256</v>
      </c>
      <c r="D11" s="28" t="s">
        <v>1265</v>
      </c>
      <c r="E11" s="29">
        <v>5</v>
      </c>
      <c r="F11" s="33">
        <v>4</v>
      </c>
      <c r="G11" s="29">
        <f t="shared" si="0"/>
        <v>9</v>
      </c>
    </row>
    <row r="12" spans="1:7" x14ac:dyDescent="0.25">
      <c r="A12" s="25">
        <v>9</v>
      </c>
      <c r="B12" s="78" t="s">
        <v>1257</v>
      </c>
      <c r="C12" s="79" t="s">
        <v>1257</v>
      </c>
      <c r="D12" s="28" t="s">
        <v>1259</v>
      </c>
      <c r="E12" s="29">
        <v>0</v>
      </c>
      <c r="F12" s="33">
        <v>8</v>
      </c>
      <c r="G12" s="29">
        <f t="shared" si="0"/>
        <v>8</v>
      </c>
    </row>
    <row r="13" spans="1:7" x14ac:dyDescent="0.25">
      <c r="A13" s="66" t="s">
        <v>71</v>
      </c>
      <c r="B13" s="67"/>
      <c r="C13" s="67"/>
      <c r="D13" s="68"/>
      <c r="E13" s="27">
        <f>SUM(E4:E12)</f>
        <v>34</v>
      </c>
      <c r="F13" s="27">
        <f>SUM(F4:F12)</f>
        <v>29</v>
      </c>
      <c r="G13" s="27">
        <f t="shared" si="0"/>
        <v>63</v>
      </c>
    </row>
  </sheetData>
  <mergeCells count="14">
    <mergeCell ref="B12:C12"/>
    <mergeCell ref="A13:D13"/>
    <mergeCell ref="B6:C6"/>
    <mergeCell ref="B7:C7"/>
    <mergeCell ref="B8:C8"/>
    <mergeCell ref="B9:C9"/>
    <mergeCell ref="B10:C10"/>
    <mergeCell ref="B11:C11"/>
    <mergeCell ref="B5:C5"/>
    <mergeCell ref="A2:A3"/>
    <mergeCell ref="B2:C3"/>
    <mergeCell ref="D2:D3"/>
    <mergeCell ref="E2:G2"/>
    <mergeCell ref="B4:C4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85F23-561B-47DD-9EC0-5CEB2E3B8F1D}">
  <dimension ref="A2:G8"/>
  <sheetViews>
    <sheetView rightToLeft="1" workbookViewId="0">
      <selection activeCell="E16" sqref="E16"/>
    </sheetView>
  </sheetViews>
  <sheetFormatPr baseColWidth="10" defaultRowHeight="15" x14ac:dyDescent="0.25"/>
  <cols>
    <col min="1" max="1" width="6.28515625" customWidth="1"/>
    <col min="3" max="3" width="16" customWidth="1"/>
    <col min="4" max="4" width="24" customWidth="1"/>
  </cols>
  <sheetData>
    <row r="2" spans="1:7" ht="23.25" x14ac:dyDescent="0.25">
      <c r="A2" s="51" t="s">
        <v>80</v>
      </c>
      <c r="B2" s="69" t="s">
        <v>81</v>
      </c>
      <c r="C2" s="70"/>
      <c r="D2" s="51" t="s">
        <v>82</v>
      </c>
      <c r="E2" s="48" t="s">
        <v>76</v>
      </c>
      <c r="F2" s="49"/>
      <c r="G2" s="50"/>
    </row>
    <row r="3" spans="1:7" ht="18.75" x14ac:dyDescent="0.25">
      <c r="A3" s="52"/>
      <c r="B3" s="71"/>
      <c r="C3" s="72"/>
      <c r="D3" s="52"/>
      <c r="E3" s="16" t="s">
        <v>77</v>
      </c>
      <c r="F3" s="16" t="s">
        <v>78</v>
      </c>
      <c r="G3" s="16" t="s">
        <v>79</v>
      </c>
    </row>
    <row r="4" spans="1:7" x14ac:dyDescent="0.25">
      <c r="A4" s="25">
        <v>1</v>
      </c>
      <c r="B4" s="78" t="s">
        <v>1266</v>
      </c>
      <c r="C4" s="79" t="s">
        <v>1266</v>
      </c>
      <c r="D4" s="28" t="s">
        <v>1270</v>
      </c>
      <c r="E4" s="29">
        <v>5</v>
      </c>
      <c r="F4" s="33">
        <v>4</v>
      </c>
      <c r="G4" s="29">
        <f>SUM(E4:F4)</f>
        <v>9</v>
      </c>
    </row>
    <row r="5" spans="1:7" x14ac:dyDescent="0.25">
      <c r="A5" s="25">
        <v>2</v>
      </c>
      <c r="B5" s="78" t="s">
        <v>1267</v>
      </c>
      <c r="C5" s="79" t="s">
        <v>1267</v>
      </c>
      <c r="D5" s="28" t="s">
        <v>1270</v>
      </c>
      <c r="E5" s="29">
        <v>8</v>
      </c>
      <c r="F5" s="33">
        <v>4</v>
      </c>
      <c r="G5" s="29">
        <f>SUM(E5:F5)</f>
        <v>12</v>
      </c>
    </row>
    <row r="6" spans="1:7" x14ac:dyDescent="0.25">
      <c r="A6" s="25">
        <v>3</v>
      </c>
      <c r="B6" s="78" t="s">
        <v>1268</v>
      </c>
      <c r="C6" s="79" t="s">
        <v>1268</v>
      </c>
      <c r="D6" s="28" t="s">
        <v>1271</v>
      </c>
      <c r="E6" s="29">
        <v>2</v>
      </c>
      <c r="F6" s="33">
        <v>1</v>
      </c>
      <c r="G6" s="29">
        <f>SUM(E6:F6)</f>
        <v>3</v>
      </c>
    </row>
    <row r="7" spans="1:7" x14ac:dyDescent="0.25">
      <c r="A7" s="25">
        <v>4</v>
      </c>
      <c r="B7" s="78" t="s">
        <v>1269</v>
      </c>
      <c r="C7" s="79" t="s">
        <v>1269</v>
      </c>
      <c r="D7" s="28" t="s">
        <v>1272</v>
      </c>
      <c r="E7" s="29">
        <v>2</v>
      </c>
      <c r="F7" s="33">
        <v>2</v>
      </c>
      <c r="G7" s="29">
        <f>SUM(E7:F7)</f>
        <v>4</v>
      </c>
    </row>
    <row r="8" spans="1:7" x14ac:dyDescent="0.25">
      <c r="A8" s="66" t="s">
        <v>71</v>
      </c>
      <c r="B8" s="67"/>
      <c r="C8" s="67"/>
      <c r="D8" s="68"/>
      <c r="E8" s="27">
        <f>SUM(E4:E7)</f>
        <v>17</v>
      </c>
      <c r="F8" s="27">
        <f>SUM(F4:F7)</f>
        <v>11</v>
      </c>
      <c r="G8" s="27">
        <f>SUM(E8:F8)</f>
        <v>28</v>
      </c>
    </row>
  </sheetData>
  <mergeCells count="9">
    <mergeCell ref="E2:G2"/>
    <mergeCell ref="B4:C4"/>
    <mergeCell ref="B5:C5"/>
    <mergeCell ref="A8:D8"/>
    <mergeCell ref="B6:C6"/>
    <mergeCell ref="B7:C7"/>
    <mergeCell ref="A2:A3"/>
    <mergeCell ref="B2:C3"/>
    <mergeCell ref="D2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58</vt:i4>
      </vt:variant>
    </vt:vector>
  </HeadingPairs>
  <TitlesOfParts>
    <vt:vector size="58" baseType="lpstr">
      <vt:lpstr>الدوائر</vt:lpstr>
      <vt:lpstr>شامل</vt:lpstr>
      <vt:lpstr>براقي</vt:lpstr>
      <vt:lpstr>الكاليتوس</vt:lpstr>
      <vt:lpstr>سيدي موسى </vt:lpstr>
      <vt:lpstr>الرويبة</vt:lpstr>
      <vt:lpstr>هراوة</vt:lpstr>
      <vt:lpstr>رغاية</vt:lpstr>
      <vt:lpstr>زرالدة</vt:lpstr>
      <vt:lpstr>سطاوالي</vt:lpstr>
      <vt:lpstr>سويدانية</vt:lpstr>
      <vt:lpstr>معالمة</vt:lpstr>
      <vt:lpstr>الرحمانية</vt:lpstr>
      <vt:lpstr>الشراقة</vt:lpstr>
      <vt:lpstr>الحمامات</vt:lpstr>
      <vt:lpstr>اولاد فايت</vt:lpstr>
      <vt:lpstr>دالي ابراهيم</vt:lpstr>
      <vt:lpstr>عين بنيان </vt:lpstr>
      <vt:lpstr>درارية</vt:lpstr>
      <vt:lpstr>دويرة</vt:lpstr>
      <vt:lpstr>بابا حسن</vt:lpstr>
      <vt:lpstr>العاشور </vt:lpstr>
      <vt:lpstr>خرايسية </vt:lpstr>
      <vt:lpstr>بئر توتة</vt:lpstr>
      <vt:lpstr> أولاد شبل</vt:lpstr>
      <vt:lpstr>تسالة المرجة </vt:lpstr>
      <vt:lpstr>سيدي امحمد</vt:lpstr>
      <vt:lpstr>الجزائر وسط</vt:lpstr>
      <vt:lpstr>المرادية</vt:lpstr>
      <vt:lpstr>باب الواد</vt:lpstr>
      <vt:lpstr>بولوغين</vt:lpstr>
      <vt:lpstr>القصبة</vt:lpstr>
      <vt:lpstr>واد قريش</vt:lpstr>
      <vt:lpstr>رايس حميدو</vt:lpstr>
      <vt:lpstr>حسين داي</vt:lpstr>
      <vt:lpstr>محمد بلوزداد</vt:lpstr>
      <vt:lpstr>القبة</vt:lpstr>
      <vt:lpstr>المغارية</vt:lpstr>
      <vt:lpstr>الحراش</vt:lpstr>
      <vt:lpstr>وادي السمار </vt:lpstr>
      <vt:lpstr>بوروبة</vt:lpstr>
      <vt:lpstr>باش جراح</vt:lpstr>
      <vt:lpstr>بئر مراد رايس </vt:lpstr>
      <vt:lpstr>بئر خادم</vt:lpstr>
      <vt:lpstr>جسر قسنطينة</vt:lpstr>
      <vt:lpstr>حيدرة</vt:lpstr>
      <vt:lpstr>السحاولة</vt:lpstr>
      <vt:lpstr>بوزريعة </vt:lpstr>
      <vt:lpstr>الأبيار</vt:lpstr>
      <vt:lpstr>بن عكنون</vt:lpstr>
      <vt:lpstr>بني مسوس</vt:lpstr>
      <vt:lpstr>الدار البيضاء</vt:lpstr>
      <vt:lpstr>باب الـــزوار</vt:lpstr>
      <vt:lpstr>المحمدية</vt:lpstr>
      <vt:lpstr>برج الكيفان</vt:lpstr>
      <vt:lpstr>عين طاية</vt:lpstr>
      <vt:lpstr>برج البحري</vt:lpstr>
      <vt:lpstr>المرسى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marketing</dc:creator>
  <cp:lastModifiedBy>المستقبل</cp:lastModifiedBy>
  <cp:lastPrinted>2021-06-02T10:54:33Z</cp:lastPrinted>
  <dcterms:created xsi:type="dcterms:W3CDTF">2021-05-25T19:25:09Z</dcterms:created>
  <dcterms:modified xsi:type="dcterms:W3CDTF">2021-06-02T10:55:03Z</dcterms:modified>
</cp:coreProperties>
</file>